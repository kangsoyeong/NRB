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도급기성청구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000000"/>
      <sz val="10"/>
    </font>
    <font>
      <name val="맑은 고딕"/>
      <i val="1"/>
      <color rgb="00595959"/>
      <sz val="9"/>
    </font>
    <font>
      <name val="맑은 고딕"/>
      <b val="1"/>
      <color rgb="00FFFFFF"/>
      <sz val="10"/>
    </font>
    <font>
      <name val="맑은 고딕"/>
      <b val="1"/>
      <color rgb="00000000"/>
      <sz val="11"/>
    </font>
    <font>
      <name val="맑은 고딕"/>
      <b val="1"/>
      <color rgb="00C00000"/>
      <sz val="9"/>
    </font>
    <font>
      <name val="맑은 고딕"/>
      <color rgb="00000000"/>
      <sz val="9"/>
    </font>
    <font>
      <name val="맑은 고딕"/>
      <b val="1"/>
      <color rgb="00C00000"/>
      <sz val="10"/>
    </font>
    <font>
      <name val="맑은 고딕"/>
      <color rgb="00000000"/>
      <sz val="10"/>
    </font>
    <font>
      <name val="맑은 고딕"/>
      <b val="1"/>
      <color rgb="002E75B6"/>
      <sz val="9"/>
    </font>
    <font>
      <name val="맑은 고딕"/>
      <b val="1"/>
      <color rgb="00FFFFFF"/>
      <sz val="11"/>
    </font>
    <font>
      <name val="맑은 고딕"/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 wrapText="1"/>
    </xf>
    <xf numFmtId="3" fontId="9" fillId="5" borderId="1" applyAlignment="1" pivotButton="0" quotePrefix="0" xfId="0">
      <alignment horizontal="right" vertical="center" wrapText="1"/>
    </xf>
    <xf numFmtId="3" fontId="2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right" vertical="center" wrapText="1"/>
    </xf>
    <xf numFmtId="3" fontId="9" fillId="6" borderId="1" applyAlignment="1" pivotButton="0" quotePrefix="0" xfId="0">
      <alignment horizontal="right" vertical="center" wrapText="1"/>
    </xf>
    <xf numFmtId="3" fontId="2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right" vertical="center" wrapText="1"/>
    </xf>
    <xf numFmtId="3" fontId="9" fillId="7" borderId="1" applyAlignment="1" pivotButton="0" quotePrefix="0" xfId="0">
      <alignment horizontal="right" vertical="center" wrapText="1"/>
    </xf>
    <xf numFmtId="3" fontId="2" fillId="7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right" vertical="center" wrapText="1"/>
    </xf>
    <xf numFmtId="0" fontId="0" fillId="2" borderId="1" pivotButton="0" quotePrefix="0" xfId="0"/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13" customWidth="1" min="4" max="4"/>
    <col width="13" customWidth="1" min="5" max="5"/>
    <col width="14" customWidth="1" min="6" max="6"/>
    <col width="18" customWidth="1" min="7" max="7"/>
    <col width="17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8" customWidth="1" min="14" max="14"/>
  </cols>
  <sheetData>
    <row r="1" ht="38" customHeight="1">
      <c r="A1" s="1" t="inlineStr">
        <is>
          <t>의왕초평 A-4BL  도급 기성청구 현황</t>
        </is>
      </c>
    </row>
    <row r="2" ht="20" customHeight="1">
      <c r="A2" s="2" t="inlineStr">
        <is>
          <t>계약금액 (도급기성청구 소계)</t>
        </is>
      </c>
      <c r="F2" s="3" t="n">
        <v>86000000000</v>
      </c>
      <c r="H2" s="4" t="inlineStr">
        <is>
          <t>※ 추가정산 포함 총계약 90,000,000,000원  /  단위 : 원, VAT포함</t>
        </is>
      </c>
    </row>
    <row r="3" ht="40" customHeight="1">
      <c r="A3" s="5" t="inlineStr">
        <is>
          <t>회차</t>
        </is>
      </c>
      <c r="B3" s="5" t="inlineStr">
        <is>
          <t>구분
(정식/약식)</t>
        </is>
      </c>
      <c r="C3" s="5" t="inlineStr">
        <is>
          <t>품의번호</t>
        </is>
      </c>
      <c r="D3" s="5" t="inlineStr">
        <is>
          <t>기안일자</t>
        </is>
      </c>
      <c r="E3" s="5" t="inlineStr">
        <is>
          <t>처리일자
(총괄표 기준)</t>
        </is>
      </c>
      <c r="F3" s="5" t="inlineStr">
        <is>
          <t>청구월</t>
        </is>
      </c>
      <c r="G3" s="5" t="inlineStr">
        <is>
          <t>금회금액
(합계)</t>
        </is>
      </c>
      <c r="H3" s="5" t="inlineStr">
        <is>
          <t>극동건설(주)
51%</t>
        </is>
      </c>
      <c r="I3" s="5" t="inlineStr">
        <is>
          <t>(주)HJ중공업
15%</t>
        </is>
      </c>
      <c r="J3" s="5" t="inlineStr">
        <is>
          <t>(주)서한
14%</t>
        </is>
      </c>
      <c r="K3" s="5" t="inlineStr">
        <is>
          <t>(주)대저건설
10%</t>
        </is>
      </c>
      <c r="L3" s="5" t="inlineStr">
        <is>
          <t>(주)엔알비
10%</t>
        </is>
      </c>
      <c r="M3" s="5" t="inlineStr">
        <is>
          <t>누계금액</t>
        </is>
      </c>
      <c r="N3" s="5" t="inlineStr">
        <is>
          <t>비고</t>
        </is>
      </c>
    </row>
    <row r="4" ht="24" customHeight="1">
      <c r="A4" s="6" t="inlineStr">
        <is>
          <t>1회</t>
        </is>
      </c>
      <c r="B4" s="7" t="inlineStr">
        <is>
          <t>정식</t>
        </is>
      </c>
      <c r="C4" s="8" t="inlineStr">
        <is>
          <t>(주)엔알비-2025-17478</t>
        </is>
      </c>
      <c r="D4" s="8" t="inlineStr">
        <is>
          <t>2025-11-29</t>
        </is>
      </c>
      <c r="E4" s="8" t="inlineStr">
        <is>
          <t>2025-12-04</t>
        </is>
      </c>
      <c r="F4" s="9" t="inlineStr">
        <is>
          <t>2025년 12월</t>
        </is>
      </c>
      <c r="G4" s="10" t="n">
        <v>5076000000</v>
      </c>
      <c r="H4" s="11" t="n">
        <v>2588760000</v>
      </c>
      <c r="I4" s="11" t="n">
        <v>761400000</v>
      </c>
      <c r="J4" s="11" t="n">
        <v>710640000</v>
      </c>
      <c r="K4" s="11" t="n">
        <v>507600000</v>
      </c>
      <c r="L4" s="11" t="n">
        <v>507600000</v>
      </c>
      <c r="M4" s="12" t="n">
        <v>5076000000</v>
      </c>
      <c r="N4" s="8" t="inlineStr">
        <is>
          <t>기안일(11/29) vs 처리일(12/04) 월 상이</t>
        </is>
      </c>
    </row>
    <row r="5" ht="24" customHeight="1">
      <c r="A5" s="13" t="inlineStr">
        <is>
          <t>2회</t>
        </is>
      </c>
      <c r="B5" s="14" t="inlineStr">
        <is>
          <t>약식</t>
        </is>
      </c>
      <c r="C5" s="15" t="inlineStr">
        <is>
          <t>(주)엔알비-2026-1859</t>
        </is>
      </c>
      <c r="D5" s="15" t="inlineStr">
        <is>
          <t>2026-02-02</t>
        </is>
      </c>
      <c r="E5" s="15" t="inlineStr">
        <is>
          <t>2026-02-04</t>
        </is>
      </c>
      <c r="F5" s="16" t="inlineStr">
        <is>
          <t>2026년 2월</t>
        </is>
      </c>
      <c r="G5" s="17" t="n">
        <v>624000000</v>
      </c>
      <c r="H5" s="18" t="n">
        <v>318240000</v>
      </c>
      <c r="I5" s="18" t="n">
        <v>93600000</v>
      </c>
      <c r="J5" s="18" t="n">
        <v>87360000</v>
      </c>
      <c r="K5" s="18" t="n">
        <v>62400000</v>
      </c>
      <c r="L5" s="18" t="n">
        <v>62400000</v>
      </c>
      <c r="M5" s="19" t="n">
        <v>5700000000</v>
      </c>
      <c r="N5" s="15" t="inlineStr"/>
    </row>
    <row r="6" ht="24" customHeight="1">
      <c r="A6" s="20" t="inlineStr">
        <is>
          <t>3회</t>
        </is>
      </c>
      <c r="B6" s="21" t="inlineStr">
        <is>
          <t>약식</t>
        </is>
      </c>
      <c r="C6" s="22" t="inlineStr">
        <is>
          <t>(주)엔알비-2026-4026</t>
        </is>
      </c>
      <c r="D6" s="22" t="inlineStr">
        <is>
          <t>2026-03-05</t>
        </is>
      </c>
      <c r="E6" s="22" t="inlineStr">
        <is>
          <t>2026-03-06</t>
        </is>
      </c>
      <c r="F6" s="23" t="inlineStr">
        <is>
          <t>2026년 3월</t>
        </is>
      </c>
      <c r="G6" s="24" t="n">
        <v>1640000000</v>
      </c>
      <c r="H6" s="25" t="n">
        <v>836400000</v>
      </c>
      <c r="I6" s="25" t="n">
        <v>246000000</v>
      </c>
      <c r="J6" s="25" t="n">
        <v>229600000</v>
      </c>
      <c r="K6" s="25" t="n">
        <v>164000000</v>
      </c>
      <c r="L6" s="25" t="n">
        <v>164000000</v>
      </c>
      <c r="M6" s="26" t="n">
        <v>7340000000</v>
      </c>
      <c r="N6" s="22" t="inlineStr"/>
    </row>
    <row r="7" ht="24" customHeight="1">
      <c r="A7" s="6" t="inlineStr">
        <is>
          <t>4회</t>
        </is>
      </c>
      <c r="B7" s="7" t="inlineStr">
        <is>
          <t>정식</t>
        </is>
      </c>
      <c r="C7" s="8" t="inlineStr">
        <is>
          <t>(주)엔알비-2026-5251</t>
        </is>
      </c>
      <c r="D7" s="8" t="inlineStr">
        <is>
          <t>2026-03-25</t>
        </is>
      </c>
      <c r="E7" s="8" t="inlineStr">
        <is>
          <t>2026-04-06</t>
        </is>
      </c>
      <c r="F7" s="9" t="inlineStr">
        <is>
          <t>2026년 4월</t>
        </is>
      </c>
      <c r="G7" s="10" t="n">
        <v>2930000000</v>
      </c>
      <c r="H7" s="11" t="n">
        <v>1494300000</v>
      </c>
      <c r="I7" s="11" t="n">
        <v>439500000</v>
      </c>
      <c r="J7" s="11" t="n">
        <v>410200000</v>
      </c>
      <c r="K7" s="11" t="n">
        <v>293000000</v>
      </c>
      <c r="L7" s="11" t="n">
        <v>293000000</v>
      </c>
      <c r="M7" s="12" t="n">
        <v>10270000000</v>
      </c>
      <c r="N7" s="8" t="inlineStr">
        <is>
          <t>기안일(3/25) vs 처리일(4/06) 월 상이</t>
        </is>
      </c>
    </row>
    <row r="8" ht="24" customHeight="1">
      <c r="A8" s="6" t="inlineStr">
        <is>
          <t>5회</t>
        </is>
      </c>
      <c r="B8" s="27" t="inlineStr">
        <is>
          <t>약식</t>
        </is>
      </c>
      <c r="C8" s="8" t="inlineStr">
        <is>
          <t>(주)엔알비-2026-7755</t>
        </is>
      </c>
      <c r="D8" s="8" t="inlineStr">
        <is>
          <t>미확인</t>
        </is>
      </c>
      <c r="E8" s="8" t="inlineStr">
        <is>
          <t>2026-05-12</t>
        </is>
      </c>
      <c r="F8" s="9" t="inlineStr">
        <is>
          <t>2026년 5월</t>
        </is>
      </c>
      <c r="G8" s="10" t="n">
        <v>3980000000</v>
      </c>
      <c r="H8" s="11" t="n">
        <v>2029800000</v>
      </c>
      <c r="I8" s="11" t="n">
        <v>597000000</v>
      </c>
      <c r="J8" s="11" t="n">
        <v>557200000</v>
      </c>
      <c r="K8" s="11" t="n">
        <v>398000000</v>
      </c>
      <c r="L8" s="11" t="n">
        <v>398000000</v>
      </c>
      <c r="M8" s="12" t="n">
        <v>14250000000</v>
      </c>
      <c r="N8" s="8" t="inlineStr">
        <is>
          <t>기안서 1p 누락 – 처리일은 총괄표 기준</t>
        </is>
      </c>
    </row>
    <row r="9" ht="26" customHeight="1">
      <c r="A9" s="28" t="inlineStr">
        <is>
          <t>합   계</t>
        </is>
      </c>
      <c r="G9" s="29">
        <f>SUM(G4:G8)</f>
        <v/>
      </c>
      <c r="H9" s="29">
        <f>SUM(H4:H8)</f>
        <v/>
      </c>
      <c r="I9" s="29">
        <f>SUM(I4:I8)</f>
        <v/>
      </c>
      <c r="J9" s="29">
        <f>SUM(J4:J8)</f>
        <v/>
      </c>
      <c r="K9" s="29">
        <f>SUM(K4:K8)</f>
        <v/>
      </c>
      <c r="L9" s="29">
        <f>SUM(L4:L8)</f>
        <v/>
      </c>
      <c r="M9" s="29" t="n">
        <v>14250000000</v>
      </c>
      <c r="N9" s="30" t="inlineStr"/>
    </row>
    <row r="11">
      <c r="A11" s="31" t="inlineStr">
        <is>
          <t>※ 청구월은 사업비회수금 총괄표의 처리일자 기준.  1회(기안 11/29→처리 12/04), 4회(기안 3/25→처리 4/06)는 기안월과 처리월이 상이함.</t>
        </is>
      </c>
    </row>
  </sheetData>
  <mergeCells count="6">
    <mergeCell ref="F2:G2"/>
    <mergeCell ref="A2:E2"/>
    <mergeCell ref="H2:N2"/>
    <mergeCell ref="A9:F9"/>
    <mergeCell ref="A11:N11"/>
    <mergeCell ref="A1:N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2026-05-22T09:01:36Z</dcterms:created>
  <dcterms:modified xsi:type="dcterms:W3CDTF">2026-05-22T09:01:36Z</dcterms:modified>
</cp:coreProperties>
</file>