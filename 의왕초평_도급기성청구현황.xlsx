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도급기성청구현황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5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FFFFFF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rgb="FF000000"/>
      <sz val="11"/>
    </font>
    <font>
      <name val="맑은 고딕"/>
      <charset val="129"/>
      <family val="3"/>
      <color theme="1"/>
      <sz val="10"/>
    </font>
    <font>
      <name val="맑은 고딕"/>
      <charset val="129"/>
      <family val="3"/>
      <b val="1"/>
      <color theme="1"/>
      <sz val="10"/>
    </font>
    <font>
      <name val="맑은 고딕"/>
      <b val="1"/>
      <color rgb="00FFFFFF"/>
      <sz val="13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color rgb="00AAAAAA"/>
      <sz val="9"/>
    </font>
    <font>
      <name val="맑은 고딕"/>
      <b val="1"/>
      <color rgb="00843C0C"/>
      <sz val="9"/>
    </font>
    <font>
      <name val="맑은 고딕"/>
      <b val="1"/>
      <color rgb="001F4E79"/>
      <sz val="9"/>
    </font>
    <font>
      <name val="맑은 고딕"/>
      <i val="1"/>
      <color rgb="00375623"/>
      <sz val="8"/>
    </font>
    <font>
      <name val="맑은 고딕"/>
      <b val="1"/>
      <color rgb="00AAAAAA"/>
      <sz val="9"/>
    </font>
    <font>
      <name val="맑은 고딕"/>
      <b val="1"/>
      <color rgb="00C00000"/>
      <sz val="9"/>
    </font>
    <font>
      <name val="맑은 고딕"/>
      <i val="1"/>
      <color rgb="00C00000"/>
      <sz val="8"/>
    </font>
    <font>
      <name val="맑은 고딕"/>
      <b val="1"/>
      <color rgb="00375623"/>
      <sz val="9"/>
    </font>
    <font>
      <name val="맑은 고딕"/>
      <b val="1"/>
      <color rgb="00FFFFFF"/>
      <sz val="10"/>
    </font>
    <font>
      <name val="맑은 고딕"/>
      <b val="1"/>
      <color rgb="00375623"/>
      <sz val="10"/>
    </font>
    <font>
      <name val="맑은 고딕"/>
      <b val="1"/>
      <color rgb="00843C0C"/>
      <sz val="10"/>
    </font>
    <font>
      <name val="맑은 고딕"/>
      <b val="1"/>
      <color rgb="001F4E79"/>
      <sz val="10"/>
    </font>
    <font>
      <name val="맑은 고딕"/>
      <b val="1"/>
      <color rgb="00C00000"/>
      <sz val="10"/>
    </font>
    <font>
      <name val="맑은 고딕"/>
      <i val="1"/>
      <color rgb="00595959"/>
      <sz val="9"/>
    </font>
  </fonts>
  <fills count="1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BDD7EE"/>
      </patternFill>
    </fill>
    <fill>
      <patternFill patternType="solid">
        <fgColor rgb="00FFE0E0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8" fillId="0" borderId="0"/>
    <xf numFmtId="9" fontId="8" fillId="0" borderId="0" applyAlignment="1">
      <alignment vertical="center"/>
    </xf>
  </cellStyleXfs>
  <cellXfs count="57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right" vertical="center" wrapText="1"/>
    </xf>
    <xf numFmtId="0" fontId="0" fillId="2" borderId="1" pivotButton="0" quotePrefix="0" xfId="0"/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3" fontId="11" fillId="4" borderId="1" applyAlignment="1" pivotButton="0" quotePrefix="0" xfId="0">
      <alignment horizontal="right" vertical="center" wrapText="1"/>
    </xf>
    <xf numFmtId="9" fontId="11" fillId="4" borderId="1" applyAlignment="1" pivotButton="0" quotePrefix="0" xfId="1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right" vertical="center" wrapText="1"/>
    </xf>
    <xf numFmtId="9" fontId="12" fillId="5" borderId="1" applyAlignment="1" pivotButton="0" quotePrefix="0" xfId="1">
      <alignment horizontal="center" vertical="center" wrapText="1"/>
    </xf>
    <xf numFmtId="3" fontId="6" fillId="5" borderId="1" applyAlignment="1" pivotButton="0" quotePrefix="0" xfId="0">
      <alignment horizontal="right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6" borderId="6" applyAlignment="1" pivotButton="0" quotePrefix="0" xfId="0">
      <alignment horizontal="center" vertical="center" wrapText="1"/>
    </xf>
    <xf numFmtId="0" fontId="14" fillId="7" borderId="6" applyAlignment="1" pivotButton="0" quotePrefix="0" xfId="0">
      <alignment horizontal="center" vertical="center" wrapText="1"/>
    </xf>
    <xf numFmtId="0" fontId="14" fillId="8" borderId="6" applyAlignment="1" pivotButton="0" quotePrefix="0" xfId="0">
      <alignment horizontal="center" vertical="center" wrapText="1"/>
    </xf>
    <xf numFmtId="0" fontId="14" fillId="9" borderId="6" applyAlignment="1" pivotButton="0" quotePrefix="0" xfId="0">
      <alignment horizontal="center" vertical="center" wrapText="1"/>
    </xf>
    <xf numFmtId="0" fontId="14" fillId="10" borderId="6" applyAlignment="1" pivotButton="0" quotePrefix="0" xfId="0">
      <alignment horizontal="center" vertical="center" wrapText="1"/>
    </xf>
    <xf numFmtId="0" fontId="14" fillId="11" borderId="6" applyAlignment="1" pivotButton="0" quotePrefix="0" xfId="0">
      <alignment horizontal="center" vertical="center" wrapText="1"/>
    </xf>
    <xf numFmtId="0" fontId="14" fillId="12" borderId="6" applyAlignment="1" pivotButton="0" quotePrefix="0" xfId="0">
      <alignment horizontal="left" vertical="center" wrapText="1"/>
    </xf>
    <xf numFmtId="3" fontId="15" fillId="12" borderId="6" applyAlignment="1" pivotButton="0" quotePrefix="0" xfId="0">
      <alignment horizontal="right" vertical="center" wrapText="1"/>
    </xf>
    <xf numFmtId="0" fontId="16" fillId="8" borderId="6" applyAlignment="1" pivotButton="0" quotePrefix="0" xfId="0">
      <alignment horizontal="right" vertical="center" wrapText="1"/>
    </xf>
    <xf numFmtId="0" fontId="15" fillId="8" borderId="6" applyAlignment="1" pivotButton="0" quotePrefix="0" xfId="0">
      <alignment horizontal="center" vertical="center" wrapText="1"/>
    </xf>
    <xf numFmtId="3" fontId="17" fillId="9" borderId="6" applyAlignment="1" pivotButton="0" quotePrefix="0" xfId="0">
      <alignment horizontal="right" vertical="center" wrapText="1"/>
    </xf>
    <xf numFmtId="0" fontId="15" fillId="9" borderId="6" applyAlignment="1" pivotButton="0" quotePrefix="0" xfId="0">
      <alignment horizontal="center" vertical="center" wrapText="1"/>
    </xf>
    <xf numFmtId="3" fontId="18" fillId="10" borderId="6" applyAlignment="1" pivotButton="0" quotePrefix="0" xfId="0">
      <alignment horizontal="right" vertical="center" wrapText="1"/>
    </xf>
    <xf numFmtId="0" fontId="14" fillId="11" borderId="6" applyAlignment="1" pivotButton="0" quotePrefix="0" xfId="0">
      <alignment horizontal="right" vertical="center" wrapText="1"/>
    </xf>
    <xf numFmtId="0" fontId="19" fillId="12" borderId="6" applyAlignment="1" pivotButton="0" quotePrefix="0" xfId="0">
      <alignment horizontal="center" vertical="center" wrapText="1"/>
    </xf>
    <xf numFmtId="0" fontId="14" fillId="11" borderId="6" applyAlignment="1" pivotButton="0" quotePrefix="0" xfId="0">
      <alignment horizontal="left" vertical="center" wrapText="1"/>
    </xf>
    <xf numFmtId="3" fontId="15" fillId="11" borderId="6" applyAlignment="1" pivotButton="0" quotePrefix="0" xfId="0">
      <alignment horizontal="right" vertical="center" wrapText="1"/>
    </xf>
    <xf numFmtId="0" fontId="16" fillId="9" borderId="6" applyAlignment="1" pivotButton="0" quotePrefix="0" xfId="0">
      <alignment horizontal="right" vertical="center" wrapText="1"/>
    </xf>
    <xf numFmtId="0" fontId="20" fillId="10" borderId="6" applyAlignment="1" pivotButton="0" quotePrefix="0" xfId="0">
      <alignment horizontal="right" vertical="center" wrapText="1"/>
    </xf>
    <xf numFmtId="3" fontId="21" fillId="11" borderId="6" applyAlignment="1" pivotButton="0" quotePrefix="0" xfId="0">
      <alignment horizontal="right" vertical="center" wrapText="1"/>
    </xf>
    <xf numFmtId="0" fontId="22" fillId="11" borderId="6" applyAlignment="1" pivotButton="0" quotePrefix="0" xfId="0">
      <alignment horizontal="center" vertical="center" wrapText="1"/>
    </xf>
    <xf numFmtId="0" fontId="14" fillId="13" borderId="6" applyAlignment="1" pivotButton="0" quotePrefix="0" xfId="0">
      <alignment horizontal="left" vertical="center" wrapText="1"/>
    </xf>
    <xf numFmtId="3" fontId="15" fillId="13" borderId="6" applyAlignment="1" pivotButton="0" quotePrefix="0" xfId="0">
      <alignment horizontal="right" vertical="center" wrapText="1"/>
    </xf>
    <xf numFmtId="3" fontId="23" fillId="8" borderId="6" applyAlignment="1" pivotButton="0" quotePrefix="0" xfId="0">
      <alignment horizontal="right" vertical="center" wrapText="1"/>
    </xf>
    <xf numFmtId="0" fontId="19" fillId="13" borderId="6" applyAlignment="1" pivotButton="0" quotePrefix="0" xfId="0">
      <alignment horizontal="center" vertical="center" wrapText="1"/>
    </xf>
    <xf numFmtId="0" fontId="24" fillId="6" borderId="6" applyAlignment="1" pivotButton="0" quotePrefix="0" xfId="0">
      <alignment horizontal="center" vertical="center" wrapText="1"/>
    </xf>
    <xf numFmtId="3" fontId="24" fillId="6" borderId="6" applyAlignment="1" pivotButton="0" quotePrefix="0" xfId="0">
      <alignment horizontal="right" vertical="center" wrapText="1"/>
    </xf>
    <xf numFmtId="3" fontId="25" fillId="8" borderId="6" applyAlignment="1" pivotButton="0" quotePrefix="0" xfId="0">
      <alignment horizontal="right" vertical="center" wrapText="1"/>
    </xf>
    <xf numFmtId="0" fontId="25" fillId="8" borderId="6" applyAlignment="1" pivotButton="0" quotePrefix="0" xfId="0">
      <alignment horizontal="center" vertical="center" wrapText="1"/>
    </xf>
    <xf numFmtId="3" fontId="26" fillId="9" borderId="6" applyAlignment="1" pivotButton="0" quotePrefix="0" xfId="0">
      <alignment horizontal="right" vertical="center" wrapText="1"/>
    </xf>
    <xf numFmtId="0" fontId="26" fillId="9" borderId="6" applyAlignment="1" pivotButton="0" quotePrefix="0" xfId="0">
      <alignment horizontal="center" vertical="center" wrapText="1"/>
    </xf>
    <xf numFmtId="3" fontId="27" fillId="10" borderId="6" applyAlignment="1" pivotButton="0" quotePrefix="0" xfId="0">
      <alignment horizontal="right" vertical="center" wrapText="1"/>
    </xf>
    <xf numFmtId="3" fontId="28" fillId="11" borderId="6" applyAlignment="1" pivotButton="0" quotePrefix="0" xfId="0">
      <alignment horizontal="right" vertical="center" wrapText="1"/>
    </xf>
    <xf numFmtId="0" fontId="24" fillId="14" borderId="6" applyAlignment="1" pivotButton="0" quotePrefix="0" xfId="0">
      <alignment horizontal="left" vertical="center" wrapText="1"/>
    </xf>
    <xf numFmtId="3" fontId="27" fillId="8" borderId="6" applyAlignment="1" pivotButton="0" quotePrefix="0" xfId="0">
      <alignment horizontal="right" vertical="center" wrapText="1"/>
    </xf>
    <xf numFmtId="0" fontId="29" fillId="13" borderId="6" applyAlignment="1" pivotButton="0" quotePrefix="0" xfId="0">
      <alignment horizontal="left" vertical="center" wrapText="1"/>
    </xf>
    <xf numFmtId="3" fontId="27" fillId="9" borderId="6" applyAlignment="1" pivotButton="0" quotePrefix="0" xfId="0">
      <alignment horizontal="right" vertical="center" wrapText="1"/>
    </xf>
    <xf numFmtId="0" fontId="28" fillId="11" borderId="6" applyAlignment="1" pivotButton="0" quotePrefix="0" xfId="0">
      <alignment horizontal="center" vertical="center" wrapText="1"/>
    </xf>
  </cellXfs>
  <cellStyles count="2">
    <cellStyle name="표준" xfId="0" builtinId="0"/>
    <cellStyle name="백분율" xfId="1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G11" sqref="G11"/>
    </sheetView>
  </sheetViews>
  <sheetFormatPr baseColWidth="8" defaultRowHeight="16.5"/>
  <cols>
    <col width="7" customWidth="1" style="5" min="1" max="1"/>
    <col width="17" customWidth="1" style="5" min="2" max="2"/>
    <col width="9.5" customWidth="1" style="5" min="3" max="3"/>
    <col width="17" customWidth="1" style="5" min="4" max="4"/>
    <col width="16" customWidth="1" style="5" min="5" max="8"/>
    <col width="25.75" customWidth="1" style="5" min="9" max="9"/>
  </cols>
  <sheetData>
    <row r="1" ht="38.1" customHeight="1" s="5">
      <c r="A1" s="6" t="inlineStr">
        <is>
          <t>의왕초평 A-4BL 도급 기성청구 현황</t>
        </is>
      </c>
      <c r="B1" s="17" t="n"/>
      <c r="C1" s="17" t="n"/>
      <c r="D1" s="17" t="n"/>
      <c r="E1" s="17" t="n"/>
      <c r="F1" s="17" t="n"/>
      <c r="G1" s="17" t="n"/>
      <c r="H1" s="17" t="n"/>
      <c r="I1" s="18" t="n"/>
    </row>
    <row r="2" ht="36" customHeight="1" s="5">
      <c r="A2" s="1" t="inlineStr">
        <is>
          <t>회차</t>
        </is>
      </c>
      <c r="B2" s="1" t="inlineStr">
        <is>
          <t>금회금액
(합계)</t>
        </is>
      </c>
      <c r="C2" s="1" t="inlineStr">
        <is>
          <t>비율</t>
        </is>
      </c>
      <c r="D2" s="1" t="inlineStr">
        <is>
          <t>극동건설(주)
51%</t>
        </is>
      </c>
      <c r="E2" s="1" t="inlineStr">
        <is>
          <t>(주)HJ중공업
15%</t>
        </is>
      </c>
      <c r="F2" s="1" t="inlineStr">
        <is>
          <t>(주)서한
14%</t>
        </is>
      </c>
      <c r="G2" s="1" t="inlineStr">
        <is>
          <t>(주)대저건설
10%</t>
        </is>
      </c>
      <c r="H2" s="1" t="inlineStr">
        <is>
          <t>(주)엔알비
10%</t>
        </is>
      </c>
      <c r="I2" s="1" t="inlineStr">
        <is>
          <t>비고</t>
        </is>
      </c>
    </row>
    <row r="3" ht="24" customHeight="1" s="5">
      <c r="A3" s="12" t="inlineStr">
        <is>
          <t>1회</t>
        </is>
      </c>
      <c r="B3" s="13">
        <f>SUM(B4:B5)</f>
        <v/>
      </c>
      <c r="C3" s="14" t="n">
        <v>1</v>
      </c>
      <c r="D3" s="15" t="n">
        <v>2588760000</v>
      </c>
      <c r="E3" s="15" t="n">
        <v>761400000</v>
      </c>
      <c r="F3" s="15" t="n">
        <v>710640000</v>
      </c>
      <c r="G3" s="15" t="n">
        <v>507600000</v>
      </c>
      <c r="H3" s="15" t="n">
        <v>507600000</v>
      </c>
      <c r="I3" s="16" t="n"/>
    </row>
    <row r="4" ht="24" customHeight="1" s="5">
      <c r="A4" s="9" t="inlineStr">
        <is>
          <t>공장</t>
        </is>
      </c>
      <c r="B4" s="10" t="n">
        <v>2164000000</v>
      </c>
      <c r="C4" s="11" t="n">
        <v>0.43</v>
      </c>
      <c r="D4" s="15" t="n">
        <v>1103640000</v>
      </c>
      <c r="E4" s="15" t="n">
        <v>324600000</v>
      </c>
      <c r="F4" s="15" t="n">
        <v>302960000</v>
      </c>
      <c r="G4" s="15" t="n">
        <v>216400000</v>
      </c>
      <c r="H4" s="15" t="n">
        <v>216400000</v>
      </c>
      <c r="I4" s="8" t="n"/>
    </row>
    <row r="5" ht="24" customHeight="1" s="5">
      <c r="A5" s="9" t="inlineStr">
        <is>
          <t>현장</t>
        </is>
      </c>
      <c r="B5" s="10" t="n">
        <v>2912000000</v>
      </c>
      <c r="C5" s="11" t="n">
        <v>0.57</v>
      </c>
      <c r="D5" s="15" t="n">
        <v>1485120000</v>
      </c>
      <c r="E5" s="15" t="n">
        <v>436800000</v>
      </c>
      <c r="F5" s="15" t="n">
        <v>407680000</v>
      </c>
      <c r="G5" s="15" t="n">
        <v>291200000</v>
      </c>
      <c r="H5" s="15" t="n">
        <v>291200000</v>
      </c>
      <c r="I5" s="8" t="n"/>
    </row>
    <row r="6" ht="24" customHeight="1" s="5">
      <c r="A6" s="12" t="inlineStr">
        <is>
          <t>2회</t>
        </is>
      </c>
      <c r="B6" s="13">
        <f>SUM(B7:B8)</f>
        <v/>
      </c>
      <c r="C6" s="14" t="n">
        <v>1</v>
      </c>
      <c r="D6" s="15" t="n">
        <v>318240000</v>
      </c>
      <c r="E6" s="15" t="n">
        <v>93600000</v>
      </c>
      <c r="F6" s="15" t="n">
        <v>87360000</v>
      </c>
      <c r="G6" s="15" t="n">
        <v>62400000</v>
      </c>
      <c r="H6" s="15" t="n">
        <v>62400000</v>
      </c>
      <c r="I6" s="16" t="n"/>
    </row>
    <row r="7" ht="24" customHeight="1" s="5">
      <c r="A7" s="9" t="inlineStr">
        <is>
          <t>공장</t>
        </is>
      </c>
      <c r="B7" s="10" t="n">
        <v>173000000</v>
      </c>
      <c r="C7" s="11" t="n">
        <v>0.28</v>
      </c>
      <c r="D7" s="15" t="n">
        <v>88230000</v>
      </c>
      <c r="E7" s="15" t="n">
        <v>25950000</v>
      </c>
      <c r="F7" s="15" t="n">
        <v>24220000</v>
      </c>
      <c r="G7" s="15" t="n">
        <v>17300000</v>
      </c>
      <c r="H7" s="15" t="n">
        <v>17300000</v>
      </c>
      <c r="I7" s="8" t="n"/>
    </row>
    <row r="8" ht="24" customHeight="1" s="5">
      <c r="A8" s="9" t="inlineStr">
        <is>
          <t>현장</t>
        </is>
      </c>
      <c r="B8" s="10" t="n">
        <v>451000000</v>
      </c>
      <c r="C8" s="11" t="n">
        <v>0.72</v>
      </c>
      <c r="D8" s="15" t="n">
        <v>230010000</v>
      </c>
      <c r="E8" s="15" t="n">
        <v>67650000</v>
      </c>
      <c r="F8" s="15" t="n">
        <v>63140000</v>
      </c>
      <c r="G8" s="15" t="n">
        <v>45100000</v>
      </c>
      <c r="H8" s="15" t="n">
        <v>45100000</v>
      </c>
      <c r="I8" s="8" t="n"/>
    </row>
    <row r="9" ht="24" customHeight="1" s="5">
      <c r="A9" s="12" t="inlineStr">
        <is>
          <t>3회</t>
        </is>
      </c>
      <c r="B9" s="13">
        <f>SUM(B10:B11)</f>
        <v/>
      </c>
      <c r="C9" s="14" t="n">
        <v>1</v>
      </c>
      <c r="D9" s="15" t="n">
        <v>836400000</v>
      </c>
      <c r="E9" s="15" t="n">
        <v>246000000</v>
      </c>
      <c r="F9" s="15" t="n">
        <v>229600000</v>
      </c>
      <c r="G9" s="15" t="n">
        <v>164000000</v>
      </c>
      <c r="H9" s="15" t="n">
        <v>164000000</v>
      </c>
      <c r="I9" s="16" t="n"/>
    </row>
    <row r="10" ht="24" customHeight="1" s="5">
      <c r="A10" s="9" t="inlineStr">
        <is>
          <t>공장</t>
        </is>
      </c>
      <c r="B10" s="10" t="n">
        <v>1012000000</v>
      </c>
      <c r="C10" s="11" t="n">
        <v>0.62</v>
      </c>
      <c r="D10" s="15" t="n">
        <v>516120000</v>
      </c>
      <c r="E10" s="15" t="n">
        <v>151800000</v>
      </c>
      <c r="F10" s="15" t="n">
        <v>141680000</v>
      </c>
      <c r="G10" s="15" t="n">
        <v>101200000</v>
      </c>
      <c r="H10" s="15" t="n">
        <v>101200000</v>
      </c>
      <c r="I10" s="8" t="n"/>
    </row>
    <row r="11" ht="24" customHeight="1" s="5">
      <c r="A11" s="9" t="inlineStr">
        <is>
          <t>현장</t>
        </is>
      </c>
      <c r="B11" s="10" t="n">
        <v>628000000</v>
      </c>
      <c r="C11" s="11" t="n">
        <v>0.38</v>
      </c>
      <c r="D11" s="15" t="n">
        <v>320280000</v>
      </c>
      <c r="E11" s="15" t="n">
        <v>94200000</v>
      </c>
      <c r="F11" s="15" t="n">
        <v>87920000</v>
      </c>
      <c r="G11" s="15" t="n">
        <v>62800000</v>
      </c>
      <c r="H11" s="15" t="n">
        <v>62800000</v>
      </c>
      <c r="I11" s="8" t="n"/>
    </row>
    <row r="12" ht="24" customHeight="1" s="5">
      <c r="A12" s="12" t="inlineStr">
        <is>
          <t>4회</t>
        </is>
      </c>
      <c r="B12" s="13">
        <f>SUM(B13:B14)</f>
        <v/>
      </c>
      <c r="C12" s="14" t="n">
        <v>1</v>
      </c>
      <c r="D12" s="15" t="n">
        <v>1494300000</v>
      </c>
      <c r="E12" s="15" t="n">
        <v>439500000</v>
      </c>
      <c r="F12" s="15" t="n">
        <v>410200000</v>
      </c>
      <c r="G12" s="15" t="n">
        <v>293000000</v>
      </c>
      <c r="H12" s="15" t="n">
        <v>293000000</v>
      </c>
      <c r="I12" s="16" t="n"/>
    </row>
    <row r="13" ht="24" customHeight="1" s="5">
      <c r="A13" s="9" t="inlineStr">
        <is>
          <t>공장</t>
        </is>
      </c>
      <c r="B13" s="10" t="n">
        <v>2085000000</v>
      </c>
      <c r="C13" s="11" t="n">
        <v>0.71</v>
      </c>
      <c r="D13" s="15" t="n">
        <v>1063350000</v>
      </c>
      <c r="E13" s="15" t="n">
        <v>312750000</v>
      </c>
      <c r="F13" s="15" t="n">
        <v>291900000</v>
      </c>
      <c r="G13" s="15" t="n">
        <v>208500000</v>
      </c>
      <c r="H13" s="15" t="n">
        <v>208500000</v>
      </c>
      <c r="I13" s="8" t="n"/>
    </row>
    <row r="14" ht="24" customHeight="1" s="5">
      <c r="A14" s="9" t="inlineStr">
        <is>
          <t>현장</t>
        </is>
      </c>
      <c r="B14" s="10" t="n">
        <v>845000000</v>
      </c>
      <c r="C14" s="11" t="n">
        <v>0.29</v>
      </c>
      <c r="D14" s="15" t="n">
        <v>430950000</v>
      </c>
      <c r="E14" s="15" t="n">
        <v>126750000</v>
      </c>
      <c r="F14" s="15" t="n">
        <v>118300000</v>
      </c>
      <c r="G14" s="15" t="n">
        <v>84500000</v>
      </c>
      <c r="H14" s="15" t="n">
        <v>84500000</v>
      </c>
      <c r="I14" s="8" t="n"/>
    </row>
    <row r="15" ht="24" customHeight="1" s="5">
      <c r="A15" s="12" t="inlineStr">
        <is>
          <t>5회</t>
        </is>
      </c>
      <c r="B15" s="13">
        <f>SUM(B16:B17)</f>
        <v/>
      </c>
      <c r="C15" s="14" t="n">
        <v>1</v>
      </c>
      <c r="D15" s="15" t="n">
        <v>2029800000</v>
      </c>
      <c r="E15" s="15" t="n">
        <v>597000000</v>
      </c>
      <c r="F15" s="15" t="n">
        <v>557200000</v>
      </c>
      <c r="G15" s="15" t="n">
        <v>398000000</v>
      </c>
      <c r="H15" s="15" t="n">
        <v>398000000</v>
      </c>
      <c r="I15" s="16" t="n"/>
    </row>
    <row r="16" ht="24" customHeight="1" s="5">
      <c r="A16" s="9" t="inlineStr">
        <is>
          <t>공장</t>
        </is>
      </c>
      <c r="B16" s="10" t="n">
        <v>2347000000</v>
      </c>
      <c r="C16" s="11" t="n">
        <v>0.59</v>
      </c>
      <c r="D16" s="15" t="n">
        <v>1196970000</v>
      </c>
      <c r="E16" s="15" t="n">
        <v>352050000</v>
      </c>
      <c r="F16" s="15" t="n">
        <v>328580000</v>
      </c>
      <c r="G16" s="15" t="n">
        <v>234700000</v>
      </c>
      <c r="H16" s="15" t="n">
        <v>234700000</v>
      </c>
      <c r="I16" s="8" t="n"/>
    </row>
    <row r="17" ht="24" customHeight="1" s="5">
      <c r="A17" s="9" t="inlineStr">
        <is>
          <t>현장</t>
        </is>
      </c>
      <c r="B17" s="10" t="n">
        <v>1633000000</v>
      </c>
      <c r="C17" s="11" t="n">
        <v>0.41</v>
      </c>
      <c r="D17" s="15" t="n">
        <v>832830000</v>
      </c>
      <c r="E17" s="15" t="n">
        <v>244950000</v>
      </c>
      <c r="F17" s="15" t="n">
        <v>228620000</v>
      </c>
      <c r="G17" s="15" t="n">
        <v>163300000</v>
      </c>
      <c r="H17" s="15" t="n">
        <v>163300000</v>
      </c>
      <c r="I17" s="8" t="n"/>
    </row>
    <row r="18" ht="26.1" customHeight="1" s="5">
      <c r="A18" s="2" t="inlineStr">
        <is>
          <t>합   계</t>
        </is>
      </c>
      <c r="B18" s="3">
        <f>SUM(B3+B6+B9+B12+B15)</f>
        <v/>
      </c>
      <c r="C18" s="3" t="n"/>
      <c r="D18" s="3">
        <f>SUM(D3+D6+D9+D12+D15)</f>
        <v/>
      </c>
      <c r="E18" s="3">
        <f>SUM(E3+E6+E9+E12+E15)</f>
        <v/>
      </c>
      <c r="F18" s="3">
        <f>SUM(F3+F6+F9+F12+F15)</f>
        <v/>
      </c>
      <c r="G18" s="3">
        <f>SUM(G3+G6+G9+G12+G15)</f>
        <v/>
      </c>
      <c r="H18" s="3">
        <f>SUM(H3+H6+H9+H12+H15)</f>
        <v/>
      </c>
      <c r="I18" s="4" t="n"/>
    </row>
    <row r="21" ht="30" customHeight="1" s="5">
      <c r="A21" s="19" t="inlineStr">
        <is>
          <t>【 4회차 입금 현황 】</t>
        </is>
      </c>
    </row>
    <row r="22" ht="34" customHeight="1" s="5">
      <c r="A22" s="20" t="inlineStr">
        <is>
          <t>업체명</t>
        </is>
      </c>
      <c r="B22" s="20" t="inlineStr">
        <is>
          <t>청구금액</t>
        </is>
      </c>
      <c r="C22" s="21" t="inlineStr">
        <is>
          <t>4월 입금</t>
        </is>
      </c>
      <c r="D22" s="21" t="inlineStr">
        <is>
          <t>4월
입금일</t>
        </is>
      </c>
      <c r="E22" s="22" t="inlineStr">
        <is>
          <t>5월 입금</t>
        </is>
      </c>
      <c r="F22" s="22" t="inlineStr">
        <is>
          <t>5월
입금일</t>
        </is>
      </c>
      <c r="G22" s="23" t="inlineStr">
        <is>
          <t>입금합계</t>
        </is>
      </c>
      <c r="H22" s="24" t="inlineStr">
        <is>
          <t>미수금</t>
        </is>
      </c>
      <c r="I22" s="20" t="inlineStr">
        <is>
          <t>비고</t>
        </is>
      </c>
    </row>
    <row r="23" ht="22" customHeight="1" s="5">
      <c r="A23" s="25" t="inlineStr">
        <is>
          <t>극동건설(주)</t>
        </is>
      </c>
      <c r="B23" s="26" t="n">
        <v>1494300000</v>
      </c>
      <c r="C23" s="27" t="n"/>
      <c r="D23" s="28" t="inlineStr">
        <is>
          <t>-</t>
        </is>
      </c>
      <c r="E23" s="29" t="n">
        <v>1494300000</v>
      </c>
      <c r="F23" s="30" t="inlineStr">
        <is>
          <t>5/7</t>
        </is>
      </c>
      <c r="G23" s="31" t="n">
        <v>1494300000</v>
      </c>
      <c r="H23" s="32" t="n"/>
      <c r="I23" s="33" t="inlineStr">
        <is>
          <t>완납</t>
        </is>
      </c>
    </row>
    <row r="24" ht="22" customHeight="1" s="5">
      <c r="A24" s="34" t="inlineStr">
        <is>
          <t>(주)HJ중공업</t>
        </is>
      </c>
      <c r="B24" s="35" t="n">
        <v>439500000</v>
      </c>
      <c r="C24" s="27" t="n"/>
      <c r="D24" s="28" t="inlineStr">
        <is>
          <t>-</t>
        </is>
      </c>
      <c r="E24" s="36" t="n"/>
      <c r="F24" s="30" t="inlineStr">
        <is>
          <t>-</t>
        </is>
      </c>
      <c r="G24" s="37" t="n"/>
      <c r="H24" s="38" t="n">
        <v>439500000</v>
      </c>
      <c r="I24" s="39" t="inlineStr">
        <is>
          <t>미수금</t>
        </is>
      </c>
    </row>
    <row r="25" ht="22" customHeight="1" s="5">
      <c r="A25" s="25" t="inlineStr">
        <is>
          <t>(주)서한</t>
        </is>
      </c>
      <c r="B25" s="26" t="n">
        <v>410200000</v>
      </c>
      <c r="C25" s="27" t="n"/>
      <c r="D25" s="28" t="inlineStr">
        <is>
          <t>-</t>
        </is>
      </c>
      <c r="E25" s="29" t="n">
        <v>410200000</v>
      </c>
      <c r="F25" s="30" t="inlineStr">
        <is>
          <t>5/7</t>
        </is>
      </c>
      <c r="G25" s="31" t="n">
        <v>410200000</v>
      </c>
      <c r="H25" s="32" t="n"/>
      <c r="I25" s="33" t="inlineStr">
        <is>
          <t>완납</t>
        </is>
      </c>
    </row>
    <row r="26" ht="22" customHeight="1" s="5">
      <c r="A26" s="40" t="inlineStr">
        <is>
          <t>(주)대저건설</t>
        </is>
      </c>
      <c r="B26" s="41" t="n">
        <v>293000000</v>
      </c>
      <c r="C26" s="42" t="n">
        <v>293000000</v>
      </c>
      <c r="D26" s="28" t="inlineStr">
        <is>
          <t>4/24</t>
        </is>
      </c>
      <c r="E26" s="36" t="n"/>
      <c r="F26" s="30" t="inlineStr">
        <is>
          <t>-</t>
        </is>
      </c>
      <c r="G26" s="31" t="n">
        <v>293000000</v>
      </c>
      <c r="H26" s="32" t="n"/>
      <c r="I26" s="43" t="inlineStr">
        <is>
          <t>완납</t>
        </is>
      </c>
    </row>
    <row r="27" ht="22" customHeight="1" s="5">
      <c r="A27" s="25" t="inlineStr">
        <is>
          <t>(주)엔알비(LH)</t>
        </is>
      </c>
      <c r="B27" s="26" t="n">
        <v>293000000</v>
      </c>
      <c r="C27" s="42" t="n">
        <v>293000000</v>
      </c>
      <c r="D27" s="28" t="inlineStr">
        <is>
          <t>4/23</t>
        </is>
      </c>
      <c r="E27" s="36" t="n"/>
      <c r="F27" s="30" t="inlineStr">
        <is>
          <t>-</t>
        </is>
      </c>
      <c r="G27" s="31" t="n">
        <v>293000000</v>
      </c>
      <c r="H27" s="32" t="n"/>
      <c r="I27" s="33" t="inlineStr">
        <is>
          <t>완납</t>
        </is>
      </c>
    </row>
    <row r="28" ht="24" customHeight="1" s="5">
      <c r="A28" s="44" t="inlineStr">
        <is>
          <t>합   계</t>
        </is>
      </c>
      <c r="B28" s="45" t="n">
        <v>2930000000</v>
      </c>
      <c r="C28" s="46" t="n">
        <v>586000000</v>
      </c>
      <c r="D28" s="47" t="inlineStr">
        <is>
          <t>—</t>
        </is>
      </c>
      <c r="E28" s="48" t="n">
        <v>1904500000</v>
      </c>
      <c r="F28" s="49" t="inlineStr">
        <is>
          <t>—</t>
        </is>
      </c>
      <c r="G28" s="50" t="n">
        <v>2490500000</v>
      </c>
      <c r="H28" s="51" t="n">
        <v>439500000</v>
      </c>
      <c r="I28" s="44" t="inlineStr"/>
    </row>
    <row r="30" ht="22" customHeight="1" s="5">
      <c r="A30" s="52" t="inlineStr">
        <is>
          <t>▶ 월별 입금 요약</t>
        </is>
      </c>
    </row>
    <row r="31" ht="22" customHeight="1" s="5">
      <c r="A31" s="47" t="inlineStr">
        <is>
          <t>4월</t>
        </is>
      </c>
      <c r="B31" s="53" t="n">
        <v>586000000</v>
      </c>
      <c r="D31" s="54" t="inlineStr">
        <is>
          <t>대저건설(4/24 293,000,000) + 엔알비(4/23 293,000,000)</t>
        </is>
      </c>
    </row>
    <row r="32" ht="22" customHeight="1" s="5">
      <c r="A32" s="49" t="inlineStr">
        <is>
          <t>5월</t>
        </is>
      </c>
      <c r="B32" s="55" t="n">
        <v>1904500000</v>
      </c>
      <c r="D32" s="54" t="inlineStr">
        <is>
          <t>극동건설(5/7 1,494,300,000) + 서한(5/7 410,200,000)</t>
        </is>
      </c>
    </row>
    <row r="33" ht="22" customHeight="1" s="5">
      <c r="A33" s="56" t="inlineStr">
        <is>
          <t>미수금</t>
        </is>
      </c>
      <c r="B33" s="51" t="n">
        <v>439500000</v>
      </c>
      <c r="D33" s="54" t="inlineStr">
        <is>
          <t>(주)HJ중공업 미입금</t>
        </is>
      </c>
    </row>
  </sheetData>
  <mergeCells count="13">
    <mergeCell ref="D33:I33"/>
    <mergeCell ref="A31"/>
    <mergeCell ref="B33:C33"/>
    <mergeCell ref="D32:I32"/>
    <mergeCell ref="A21:I21"/>
    <mergeCell ref="D31:I31"/>
    <mergeCell ref="A1:I1"/>
    <mergeCell ref="B32:C32"/>
    <mergeCell ref="A28"/>
    <mergeCell ref="B31:C31"/>
    <mergeCell ref="A33"/>
    <mergeCell ref="A30:I30"/>
    <mergeCell ref="A32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2026-05-22T08:48:43Z</dcterms:created>
  <dcterms:modified xsi:type="dcterms:W3CDTF">2026-05-22T09:49:03Z</dcterms:modified>
  <cp:lastModifiedBy>강 소영</cp:lastModifiedBy>
</cp:coreProperties>
</file>