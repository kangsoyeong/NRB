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인원현황(서울)" sheetId="1" state="visible" r:id="rId1"/>
    <sheet name="26. 10월" sheetId="2" state="visible" r:id="rId2"/>
    <sheet name="26. 09월" sheetId="3" state="visible" r:id="rId3"/>
    <sheet name="26. 08월" sheetId="4" state="visible" r:id="rId4"/>
    <sheet name="26. 07월" sheetId="5" state="visible" r:id="rId5"/>
    <sheet name="26. 06월" sheetId="6" state="visible" r:id="rId6"/>
    <sheet name="26. 05월" sheetId="7" state="visible" r:id="rId7"/>
    <sheet name="26. 04월" sheetId="8" state="visible" r:id="rId8"/>
    <sheet name="26. 03월" sheetId="9" state="visible" r:id="rId9"/>
    <sheet name="26. 02월 " sheetId="10" state="visible" r:id="rId10"/>
  </sheets>
  <definedNames>
    <definedName name="_xlnm._FilterDatabase" localSheetId="0" hidden="1">'인원현황(서울)'!$A$1:$F$39</definedName>
    <definedName name="_xlnm._FilterDatabase" localSheetId="2" hidden="1">'26. 09월'!$A$4:$F$8</definedName>
    <definedName name="_xlnm._FilterDatabase" localSheetId="3" hidden="1">'26. 08월'!$A$4:$F$8</definedName>
    <definedName name="_xlnm._FilterDatabase" localSheetId="4" hidden="1">'26. 07월'!$A$4:$F$8</definedName>
    <definedName name="_xlnm._FilterDatabase" localSheetId="5" hidden="1">'26. 06월'!$A$4:$F$8</definedName>
    <definedName name="_xlnm._FilterDatabase" localSheetId="6" hidden="1">'26. 05월'!$A$4:$F$8</definedName>
    <definedName name="_xlnm._FilterDatabase" localSheetId="7" hidden="1">'26. 04월'!$A$4:$F$9</definedName>
    <definedName name="_xlnm._FilterDatabase" localSheetId="8" hidden="1">'26. 03월'!$A$4:$F$12</definedName>
    <definedName name="_xlnm._FilterDatabase" localSheetId="9" hidden="1">'26. 02월 '!$A$4:$F$12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_);\(#,##0\)"/>
    <numFmt numFmtId="165" formatCode="#,##0;[Red]#,##0"/>
  </numFmts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sz val="10"/>
      <scheme val="minor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lightUp"/>
    </fill>
    <fill>
      <patternFill patternType="lightUp">
        <bgColor theme="0" tint="-0.0499893185216834"/>
      </patternFill>
    </fill>
    <fill>
      <patternFill patternType="solid">
        <fgColor rgb="00FFFF00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7" applyAlignment="1" pivotButton="0" quotePrefix="0" xfId="0">
      <alignment vertical="center"/>
    </xf>
    <xf numFmtId="164" fontId="0" fillId="0" borderId="8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0" borderId="12" applyAlignment="1" pivotButton="0" quotePrefix="0" xfId="0">
      <alignment vertical="center"/>
    </xf>
    <xf numFmtId="0" fontId="3" fillId="0" borderId="0" applyAlignment="1" pivotButton="0" quotePrefix="0" xfId="1">
      <alignment vertical="center"/>
    </xf>
    <xf numFmtId="55" fontId="3" fillId="2" borderId="13" applyAlignment="1" pivotButton="0" quotePrefix="0" xfId="1">
      <alignment vertical="center"/>
    </xf>
    <xf numFmtId="0" fontId="3" fillId="2" borderId="0" applyAlignment="1" pivotButton="0" quotePrefix="0" xfId="1">
      <alignment vertical="center"/>
    </xf>
    <xf numFmtId="0" fontId="3" fillId="2" borderId="0" applyAlignment="1" pivotButton="0" quotePrefix="0" xfId="1">
      <alignment horizontal="center" vertical="center"/>
    </xf>
    <xf numFmtId="164" fontId="2" fillId="0" borderId="0" applyAlignment="1" pivotButton="0" quotePrefix="0" xfId="0">
      <alignment vertical="center"/>
    </xf>
    <xf numFmtId="164" fontId="0" fillId="0" borderId="10" applyAlignment="1" pivotButton="0" quotePrefix="0" xfId="0">
      <alignment horizontal="center" vertical="center"/>
    </xf>
    <xf numFmtId="164" fontId="0" fillId="0" borderId="11" applyAlignment="1" pivotButton="0" quotePrefix="0" xfId="0">
      <alignment horizontal="center" vertical="center"/>
    </xf>
    <xf numFmtId="0" fontId="4" fillId="3" borderId="1" applyAlignment="1" pivotButton="0" quotePrefix="0" xfId="1">
      <alignment horizontal="center" vertical="center"/>
    </xf>
    <xf numFmtId="0" fontId="3" fillId="2" borderId="14" applyAlignment="1" pivotButton="0" quotePrefix="0" xfId="1">
      <alignment horizontal="center" vertical="center"/>
    </xf>
    <xf numFmtId="0" fontId="3" fillId="4" borderId="14" applyAlignment="1" pivotButton="0" quotePrefix="0" xfId="1">
      <alignment horizontal="center" vertical="center"/>
    </xf>
    <xf numFmtId="0" fontId="3" fillId="5" borderId="14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2" borderId="15" applyAlignment="1" pivotButton="0" quotePrefix="0" xfId="1">
      <alignment horizontal="center" vertical="center"/>
    </xf>
    <xf numFmtId="0" fontId="3" fillId="2" borderId="16" applyAlignment="1" pivotButton="0" quotePrefix="0" xfId="1">
      <alignment horizontal="center" vertical="center"/>
    </xf>
    <xf numFmtId="164" fontId="0" fillId="5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164" fontId="0" fillId="6" borderId="3" applyAlignment="1" pivotButton="0" quotePrefix="0" xfId="0">
      <alignment horizontal="center" vertical="center"/>
    </xf>
    <xf numFmtId="164" fontId="0" fillId="6" borderId="9" applyAlignment="1" pivotButton="0" quotePrefix="0" xfId="0">
      <alignment horizontal="center" vertical="center"/>
    </xf>
    <xf numFmtId="164" fontId="0" fillId="6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0" fontId="0" fillId="6" borderId="5" applyAlignment="1" pivotButton="0" quotePrefix="0" xfId="0">
      <alignment horizontal="center" vertical="center"/>
    </xf>
    <xf numFmtId="164" fontId="0" fillId="6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64" fontId="2" fillId="6" borderId="5" applyAlignment="1" pivotButton="0" quotePrefix="0" xfId="0">
      <alignment vertical="center"/>
    </xf>
    <xf numFmtId="164" fontId="0" fillId="6" borderId="2" applyAlignment="1" pivotButton="0" quotePrefix="0" xfId="0">
      <alignment horizontal="center" vertical="center"/>
    </xf>
    <xf numFmtId="164" fontId="0" fillId="6" borderId="6" applyAlignment="1" pivotButton="0" quotePrefix="0" xfId="0">
      <alignment horizontal="center" vertical="center"/>
    </xf>
    <xf numFmtId="0" fontId="3" fillId="4" borderId="16" applyAlignment="1" pivotButton="0" quotePrefix="0" xfId="1">
      <alignment horizontal="center" vertical="center"/>
    </xf>
    <xf numFmtId="0" fontId="3" fillId="2" borderId="17" applyAlignment="1" pivotButton="0" quotePrefix="0" xfId="1">
      <alignment horizontal="center" vertical="center"/>
    </xf>
    <xf numFmtId="0" fontId="3" fillId="0" borderId="17" applyAlignment="1" pivotButton="0" quotePrefix="0" xfId="1">
      <alignment vertical="center"/>
    </xf>
    <xf numFmtId="0" fontId="3" fillId="0" borderId="16" applyAlignment="1" pivotButton="0" quotePrefix="0" xfId="1">
      <alignment horizontal="center" vertical="center"/>
    </xf>
    <xf numFmtId="0" fontId="3" fillId="4" borderId="17" applyAlignment="1" pivotButton="0" quotePrefix="0" xfId="1">
      <alignment horizontal="center" vertical="center"/>
    </xf>
    <xf numFmtId="0" fontId="5" fillId="2" borderId="14" applyAlignment="1" pivotButton="0" quotePrefix="0" xfId="1">
      <alignment horizontal="center" vertical="center"/>
    </xf>
    <xf numFmtId="3" fontId="0" fillId="7" borderId="0" applyAlignment="1" pivotButton="0" quotePrefix="0" xfId="0">
      <alignment vertical="center"/>
    </xf>
    <xf numFmtId="165" fontId="0" fillId="7" borderId="0" applyAlignment="1" pivotButton="0" quotePrefix="0" xfId="0">
      <alignment vertical="center"/>
    </xf>
    <xf numFmtId="3" fontId="0" fillId="2" borderId="0" applyAlignment="1" pivotButton="0" quotePrefix="0" xfId="0">
      <alignment vertical="center"/>
    </xf>
    <xf numFmtId="165" fontId="0" fillId="2" borderId="0" applyAlignment="1" pivotButton="0" quotePrefix="0" xfId="0">
      <alignment vertical="center"/>
    </xf>
    <xf numFmtId="0" fontId="5" fillId="2" borderId="0" applyAlignment="1" pivotButton="0" quotePrefix="0" xfId="1">
      <alignment horizontal="center" vertical="center"/>
    </xf>
    <xf numFmtId="0" fontId="4" fillId="2" borderId="0" applyAlignment="1" pivotButton="0" quotePrefix="0" xfId="1">
      <alignment horizontal="center" vertical="center"/>
    </xf>
    <xf numFmtId="164" fontId="0" fillId="8" borderId="8" applyAlignment="1" pivotButton="0" quotePrefix="0" xfId="0">
      <alignment vertical="center"/>
    </xf>
    <xf numFmtId="164" fontId="0" fillId="8" borderId="7" applyAlignment="1" pivotButton="0" quotePrefix="0" xfId="0">
      <alignment vertical="center"/>
    </xf>
    <xf numFmtId="164" fontId="0" fillId="8" borderId="7" applyAlignment="1" pivotButton="0" quotePrefix="0" xfId="0">
      <alignment horizontal="center" vertical="center"/>
    </xf>
    <xf numFmtId="164" fontId="0" fillId="8" borderId="11" applyAlignment="1" pivotButton="0" quotePrefix="0" xfId="0">
      <alignment horizontal="center" vertical="center"/>
    </xf>
    <xf numFmtId="164" fontId="0" fillId="9" borderId="6" applyAlignment="1" pivotButton="0" quotePrefix="0" xfId="0">
      <alignment horizontal="center" vertical="center"/>
    </xf>
    <xf numFmtId="0" fontId="0" fillId="0" borderId="0" pivotButton="0" quotePrefix="0" xfId="0"/>
    <xf numFmtId="164" fontId="0" fillId="5" borderId="3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9" pivotButton="0" quotePrefix="0" xfId="0"/>
    <xf numFmtId="164" fontId="0" fillId="5" borderId="9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0" fontId="3" fillId="2" borderId="12" applyAlignment="1" pivotButton="0" quotePrefix="0" xfId="1">
      <alignment horizontal="center" vertical="center"/>
    </xf>
    <xf numFmtId="0" fontId="5" fillId="2" borderId="12" applyAlignment="1" pivotButton="0" quotePrefix="0" xfId="1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4" fontId="0" fillId="5" borderId="3" applyAlignment="1" pivotButton="0" quotePrefix="0" xfId="0">
      <alignment horizontal="center" vertical="center"/>
    </xf>
    <xf numFmtId="164" fontId="0" fillId="1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165" fontId="0" fillId="2" borderId="0" applyAlignment="1" pivotButton="0" quotePrefix="0" xfId="0">
      <alignment vertical="center"/>
    </xf>
    <xf numFmtId="164" fontId="0" fillId="6" borderId="3" applyAlignment="1" pivotButton="0" quotePrefix="0" xfId="0">
      <alignment horizontal="center" vertical="center"/>
    </xf>
    <xf numFmtId="164" fontId="0" fillId="6" borderId="9" applyAlignment="1" pivotButton="0" quotePrefix="0" xfId="0">
      <alignment horizontal="center" vertical="center"/>
    </xf>
    <xf numFmtId="164" fontId="0" fillId="6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64" fontId="0" fillId="6" borderId="6" applyAlignment="1" pivotButton="0" quotePrefix="0" xfId="0">
      <alignment horizontal="center" vertical="center"/>
    </xf>
    <xf numFmtId="164" fontId="0" fillId="0" borderId="11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164" fontId="0" fillId="0" borderId="7" applyAlignment="1" pivotButton="0" quotePrefix="0" xfId="0">
      <alignment vertical="center"/>
    </xf>
    <xf numFmtId="164" fontId="0" fillId="0" borderId="8" applyAlignment="1" pivotButton="0" quotePrefix="0" xfId="0">
      <alignment vertical="center"/>
    </xf>
    <xf numFmtId="164" fontId="0" fillId="6" borderId="4" applyAlignment="1" pivotButton="0" quotePrefix="0" xfId="0">
      <alignment vertical="center"/>
    </xf>
    <xf numFmtId="164" fontId="2" fillId="6" borderId="5" applyAlignment="1" pivotButton="0" quotePrefix="0" xfId="0">
      <alignment vertical="center"/>
    </xf>
    <xf numFmtId="164" fontId="0" fillId="5" borderId="4" applyAlignment="1" pivotButton="0" quotePrefix="0" xfId="0">
      <alignment vertical="center"/>
    </xf>
    <xf numFmtId="164" fontId="0" fillId="6" borderId="2" applyAlignment="1" pivotButton="0" quotePrefix="0" xfId="0">
      <alignment horizontal="center" vertical="center"/>
    </xf>
    <xf numFmtId="164" fontId="0" fillId="0" borderId="12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64" fontId="0" fillId="0" borderId="10" applyAlignment="1" pivotButton="0" quotePrefix="0" xfId="0">
      <alignment horizontal="center" vertical="center"/>
    </xf>
    <xf numFmtId="165" fontId="0" fillId="6" borderId="4" applyAlignment="1" pivotButton="0" quotePrefix="0" xfId="0">
      <alignment vertical="center"/>
    </xf>
    <xf numFmtId="165" fontId="0" fillId="7" borderId="0" applyAlignment="1" pivotButton="0" quotePrefix="0" xfId="0">
      <alignment vertical="center"/>
    </xf>
    <xf numFmtId="164" fontId="0" fillId="9" borderId="6" applyAlignment="1" pivotButton="0" quotePrefix="0" xfId="0">
      <alignment horizontal="center" vertical="center"/>
    </xf>
    <xf numFmtId="164" fontId="0" fillId="8" borderId="11" applyAlignment="1" pivotButton="0" quotePrefix="0" xfId="0">
      <alignment horizontal="center" vertical="center"/>
    </xf>
    <xf numFmtId="164" fontId="0" fillId="8" borderId="7" applyAlignment="1" pivotButton="0" quotePrefix="0" xfId="0">
      <alignment horizontal="center" vertical="center"/>
    </xf>
    <xf numFmtId="164" fontId="0" fillId="8" borderId="7" applyAlignment="1" pivotButton="0" quotePrefix="0" xfId="0">
      <alignment vertical="center"/>
    </xf>
    <xf numFmtId="164" fontId="0" fillId="8" borderId="8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</cellXfs>
  <cellStyles count="2">
    <cellStyle name="표준" xfId="0" builtinId="0"/>
    <cellStyle name="표준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경영기획실</author>
  </authors>
  <commentList>
    <comment ref="D5" authorId="0" shapeId="0">
      <text>
        <t>단수차이 자동 조정(총액-다른 부서 합)</t>
      </text>
    </comment>
    <comment ref="D14" authorId="0" shapeId="0">
      <text>
        <t>단수차이 자동 조정(총액-다른 부서 합)</t>
      </text>
    </comment>
    <comment ref="D23" authorId="0" shapeId="0">
      <text>
        <t>단수차이 자동 조정(총액-다른 부서 합)</t>
      </text>
    </comment>
  </commentList>
</comment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topLeftCell="A4" zoomScale="115" zoomScaleNormal="115" workbookViewId="0">
      <selection activeCell="A4" sqref="A1:F1048576"/>
    </sheetView>
  </sheetViews>
  <sheetFormatPr baseColWidth="8" defaultColWidth="8.75" defaultRowHeight="16.5"/>
  <cols>
    <col width="9" customWidth="1" style="53" min="1" max="2"/>
    <col width="11.375" bestFit="1" customWidth="1" style="53" min="3" max="3"/>
    <col width="18.625" bestFit="1" customWidth="1" style="53" min="4" max="4"/>
    <col width="9" customWidth="1" style="53" min="5" max="6"/>
    <col width="8.75" customWidth="1" style="9" min="7" max="7"/>
    <col width="8.75" customWidth="1" style="9" min="8" max="16384"/>
  </cols>
  <sheetData>
    <row r="1" ht="13.5" customHeight="1" s="53">
      <c r="A1" s="16" t="inlineStr">
        <is>
          <t>구분</t>
        </is>
      </c>
      <c r="B1" s="16" t="inlineStr">
        <is>
          <t>층</t>
        </is>
      </c>
      <c r="C1" s="16" t="inlineStr">
        <is>
          <t>부서명(본부)</t>
        </is>
      </c>
      <c r="D1" s="16" t="inlineStr">
        <is>
          <t>부서명(실이하)</t>
        </is>
      </c>
      <c r="E1" s="16" t="inlineStr">
        <is>
          <t>성명</t>
        </is>
      </c>
      <c r="F1" s="16" t="inlineStr">
        <is>
          <t>직위</t>
        </is>
      </c>
    </row>
    <row r="2" ht="13.5" customHeight="1" s="53">
      <c r="A2" s="22" t="n">
        <v>1</v>
      </c>
      <c r="B2" s="22" t="inlineStr">
        <is>
          <t>13층</t>
        </is>
      </c>
      <c r="C2" s="22" t="inlineStr">
        <is>
          <t>R&amp;D본부</t>
        </is>
      </c>
      <c r="D2" s="22" t="inlineStr">
        <is>
          <t>R&amp;D본부</t>
        </is>
      </c>
      <c r="E2" s="22" t="inlineStr">
        <is>
          <t>김갑득</t>
        </is>
      </c>
      <c r="F2" s="22" t="inlineStr">
        <is>
          <t>수석연구위원</t>
        </is>
      </c>
    </row>
    <row r="3" ht="13.5" customHeight="1" s="53">
      <c r="A3" s="22" t="n">
        <v>2</v>
      </c>
      <c r="B3" s="22" t="inlineStr">
        <is>
          <t>13층</t>
        </is>
      </c>
      <c r="C3" s="22" t="n"/>
      <c r="D3" s="22" t="inlineStr">
        <is>
          <t>경영기획실</t>
        </is>
      </c>
      <c r="E3" s="22" t="inlineStr">
        <is>
          <t>김명진</t>
        </is>
      </c>
      <c r="F3" s="22" t="inlineStr">
        <is>
          <t>전무</t>
        </is>
      </c>
    </row>
    <row r="4" ht="13.5" customHeight="1" s="53">
      <c r="A4" s="22" t="n">
        <v>3</v>
      </c>
      <c r="B4" s="22" t="inlineStr">
        <is>
          <t>13층</t>
        </is>
      </c>
      <c r="C4" s="22" t="n"/>
      <c r="D4" s="22" t="inlineStr">
        <is>
          <t>경영기획실</t>
        </is>
      </c>
      <c r="E4" s="22" t="inlineStr">
        <is>
          <t>조승제</t>
        </is>
      </c>
      <c r="F4" s="22" t="inlineStr">
        <is>
          <t>부장</t>
        </is>
      </c>
    </row>
    <row r="5" ht="13.5" customHeight="1" s="53">
      <c r="A5" s="22" t="n">
        <v>4</v>
      </c>
      <c r="B5" s="22" t="inlineStr">
        <is>
          <t>13층</t>
        </is>
      </c>
      <c r="C5" s="22" t="n"/>
      <c r="D5" s="22" t="inlineStr">
        <is>
          <t>경영기획실</t>
        </is>
      </c>
      <c r="E5" s="22" t="inlineStr">
        <is>
          <t>이재영</t>
        </is>
      </c>
      <c r="F5" s="22" t="inlineStr">
        <is>
          <t>과장</t>
        </is>
      </c>
    </row>
    <row r="6" ht="13.5" customHeight="1" s="53">
      <c r="A6" s="22" t="n">
        <v>5</v>
      </c>
      <c r="B6" s="22" t="inlineStr">
        <is>
          <t>13층</t>
        </is>
      </c>
      <c r="C6" s="22" t="n"/>
      <c r="D6" s="22" t="inlineStr">
        <is>
          <t>경영기획실</t>
        </is>
      </c>
      <c r="E6" s="22" t="inlineStr">
        <is>
          <t>강지혜</t>
        </is>
      </c>
      <c r="F6" s="22" t="inlineStr">
        <is>
          <t>과장</t>
        </is>
      </c>
    </row>
    <row r="7" ht="13.5" customHeight="1" s="53">
      <c r="A7" s="22" t="n">
        <v>6</v>
      </c>
      <c r="B7" s="22" t="inlineStr">
        <is>
          <t>13층</t>
        </is>
      </c>
      <c r="C7" s="22" t="n"/>
      <c r="D7" s="22" t="inlineStr">
        <is>
          <t>경영기획실</t>
        </is>
      </c>
      <c r="E7" s="22" t="inlineStr">
        <is>
          <t>이경태</t>
        </is>
      </c>
      <c r="F7" s="22" t="inlineStr">
        <is>
          <t>차장</t>
        </is>
      </c>
    </row>
    <row r="8" ht="13.5" customHeight="1" s="53">
      <c r="A8" s="22" t="n">
        <v>7</v>
      </c>
      <c r="B8" s="22" t="inlineStr">
        <is>
          <t>13층</t>
        </is>
      </c>
      <c r="C8" s="22" t="n"/>
      <c r="D8" s="22" t="inlineStr">
        <is>
          <t>경영기획실</t>
        </is>
      </c>
      <c r="E8" s="22" t="inlineStr">
        <is>
          <t>최경천</t>
        </is>
      </c>
      <c r="F8" s="22" t="inlineStr">
        <is>
          <t>차장</t>
        </is>
      </c>
    </row>
    <row r="9" ht="13.5" customHeight="1" s="53">
      <c r="A9" s="22" t="n">
        <v>8</v>
      </c>
      <c r="B9" s="22" t="inlineStr">
        <is>
          <t>13층</t>
        </is>
      </c>
      <c r="C9" s="22" t="n"/>
      <c r="D9" s="22" t="inlineStr">
        <is>
          <t>경영기획실</t>
        </is>
      </c>
      <c r="E9" s="22" t="inlineStr">
        <is>
          <t>이재선</t>
        </is>
      </c>
      <c r="F9" s="22" t="inlineStr">
        <is>
          <t>차장</t>
        </is>
      </c>
    </row>
    <row r="10" ht="13.5" customHeight="1" s="53">
      <c r="A10" s="22" t="n">
        <v>9</v>
      </c>
      <c r="B10" s="22" t="inlineStr">
        <is>
          <t>13층</t>
        </is>
      </c>
      <c r="C10" s="22" t="n"/>
      <c r="D10" s="22" t="inlineStr">
        <is>
          <t>경영기획실</t>
        </is>
      </c>
      <c r="E10" s="22" t="inlineStr">
        <is>
          <t>이황</t>
        </is>
      </c>
      <c r="F10" s="22" t="inlineStr">
        <is>
          <t>과장</t>
        </is>
      </c>
    </row>
    <row r="11" ht="13.5" customFormat="1" customHeight="1" s="11">
      <c r="A11" s="22" t="n">
        <v>10</v>
      </c>
      <c r="B11" s="22" t="inlineStr">
        <is>
          <t>13층</t>
        </is>
      </c>
      <c r="C11" s="22" t="n"/>
      <c r="D11" s="22" t="inlineStr">
        <is>
          <t>경영기획실</t>
        </is>
      </c>
      <c r="E11" s="22" t="inlineStr">
        <is>
          <t>강소영</t>
        </is>
      </c>
      <c r="F11" s="22" t="inlineStr">
        <is>
          <t>대리</t>
        </is>
      </c>
    </row>
    <row r="12" ht="14.25" customHeight="1" s="53" thickBot="1">
      <c r="A12" s="22" t="n">
        <v>11</v>
      </c>
      <c r="B12" s="22" t="inlineStr">
        <is>
          <t>13층</t>
        </is>
      </c>
      <c r="C12" s="22" t="inlineStr">
        <is>
          <t>R&amp;D본부</t>
        </is>
      </c>
      <c r="D12" s="22" t="inlineStr">
        <is>
          <t>표준모델 개발TF</t>
        </is>
      </c>
      <c r="E12" s="22" t="inlineStr">
        <is>
          <t>최진달미</t>
        </is>
      </c>
      <c r="F12" s="22" t="inlineStr">
        <is>
          <t>수석연구위원</t>
        </is>
      </c>
    </row>
    <row r="13" ht="14.25" customHeight="1" s="53" thickTop="1">
      <c r="A13" s="22" t="n">
        <v>12</v>
      </c>
      <c r="B13" s="22" t="inlineStr">
        <is>
          <t>13층</t>
        </is>
      </c>
      <c r="C13" s="22" t="inlineStr">
        <is>
          <t>R&amp;D본부</t>
        </is>
      </c>
      <c r="D13" s="22" t="inlineStr">
        <is>
          <t>표준모델 개발TF</t>
        </is>
      </c>
      <c r="E13" s="22" t="inlineStr">
        <is>
          <t>오한솔</t>
        </is>
      </c>
      <c r="F13" s="22" t="inlineStr">
        <is>
          <t>연구원</t>
        </is>
      </c>
    </row>
    <row r="14" ht="13.5" customHeight="1" s="53">
      <c r="A14" s="22" t="n">
        <v>13</v>
      </c>
      <c r="B14" s="22" t="inlineStr">
        <is>
          <t>13층</t>
        </is>
      </c>
      <c r="C14" s="22" t="inlineStr">
        <is>
          <t>R&amp;D본부</t>
        </is>
      </c>
      <c r="D14" s="22" t="inlineStr">
        <is>
          <t>D-LAB 2실</t>
        </is>
      </c>
      <c r="E14" s="22" t="inlineStr">
        <is>
          <t>최수지</t>
        </is>
      </c>
      <c r="F14" s="22" t="inlineStr">
        <is>
          <t>책임연구원</t>
        </is>
      </c>
    </row>
    <row r="15" ht="13.5" customFormat="1" customHeight="1" s="11">
      <c r="A15" s="22" t="n">
        <v>1</v>
      </c>
      <c r="B15" s="22" t="inlineStr">
        <is>
          <t>6층</t>
        </is>
      </c>
      <c r="C15" s="22" t="n"/>
      <c r="D15" s="22" t="inlineStr">
        <is>
          <t>신사업개발실</t>
        </is>
      </c>
      <c r="E15" s="22" t="inlineStr">
        <is>
          <t>김태우</t>
        </is>
      </c>
      <c r="F15" s="22" t="inlineStr">
        <is>
          <t>상무</t>
        </is>
      </c>
    </row>
    <row r="16" ht="13.5" customHeight="1" s="53">
      <c r="A16" s="22" t="n">
        <v>2</v>
      </c>
      <c r="B16" s="22" t="inlineStr">
        <is>
          <t>6층</t>
        </is>
      </c>
      <c r="C16" s="22" t="n"/>
      <c r="D16" s="22" t="inlineStr">
        <is>
          <t>신사업개발실</t>
        </is>
      </c>
      <c r="E16" s="22" t="inlineStr">
        <is>
          <t>김순성</t>
        </is>
      </c>
      <c r="F16" s="22" t="inlineStr">
        <is>
          <t>고문</t>
        </is>
      </c>
    </row>
    <row r="17" ht="13.5" customHeight="1" s="53">
      <c r="A17" s="22" t="n">
        <v>3</v>
      </c>
      <c r="B17" s="22" t="inlineStr">
        <is>
          <t>6층</t>
        </is>
      </c>
      <c r="C17" s="22" t="n"/>
      <c r="D17" s="22" t="inlineStr">
        <is>
          <t>신사업개발실</t>
        </is>
      </c>
      <c r="E17" s="22" t="inlineStr">
        <is>
          <t>박종철</t>
        </is>
      </c>
      <c r="F17" s="22" t="inlineStr">
        <is>
          <t>이사보</t>
        </is>
      </c>
    </row>
    <row r="18" ht="13.5" customHeight="1" s="53">
      <c r="A18" s="22" t="n">
        <v>4</v>
      </c>
      <c r="B18" s="22" t="inlineStr">
        <is>
          <t>6층</t>
        </is>
      </c>
      <c r="C18" s="22" t="n"/>
      <c r="D18" s="22" t="inlineStr">
        <is>
          <t>신사업개발실</t>
        </is>
      </c>
      <c r="E18" s="22" t="inlineStr">
        <is>
          <t>이정진</t>
        </is>
      </c>
      <c r="F18" s="22" t="inlineStr">
        <is>
          <t>부장</t>
        </is>
      </c>
    </row>
    <row r="19" ht="13.5" customFormat="1" customHeight="1" s="11">
      <c r="A19" s="22" t="n">
        <v>1</v>
      </c>
      <c r="B19" s="22" t="inlineStr">
        <is>
          <t>11층</t>
        </is>
      </c>
      <c r="C19" s="22" t="inlineStr">
        <is>
          <t>사업관리본부</t>
        </is>
      </c>
      <c r="D19" s="22" t="inlineStr">
        <is>
          <t>설계실</t>
        </is>
      </c>
      <c r="E19" s="22" t="inlineStr">
        <is>
          <t>오진택</t>
        </is>
      </c>
      <c r="F19" s="22" t="inlineStr">
        <is>
          <t>부사장</t>
        </is>
      </c>
    </row>
    <row r="20" ht="13.5" customHeight="1" s="53">
      <c r="A20" s="22" t="n">
        <v>2</v>
      </c>
      <c r="B20" s="22" t="inlineStr">
        <is>
          <t>11층</t>
        </is>
      </c>
      <c r="C20" s="22" t="inlineStr">
        <is>
          <t>사업관리본부</t>
        </is>
      </c>
      <c r="D20" s="22" t="inlineStr">
        <is>
          <t>설계실</t>
        </is>
      </c>
      <c r="E20" s="22" t="inlineStr">
        <is>
          <t>최우제</t>
        </is>
      </c>
      <c r="F20" s="22" t="inlineStr">
        <is>
          <t>상무</t>
        </is>
      </c>
    </row>
    <row r="21" ht="13.5" customFormat="1" customHeight="1" s="11">
      <c r="A21" s="22" t="n">
        <v>3</v>
      </c>
      <c r="B21" s="22" t="inlineStr">
        <is>
          <t>11층</t>
        </is>
      </c>
      <c r="C21" s="22" t="inlineStr">
        <is>
          <t>사업관리본부</t>
        </is>
      </c>
      <c r="D21" s="22" t="inlineStr">
        <is>
          <t>설계실</t>
        </is>
      </c>
      <c r="E21" s="22" t="inlineStr">
        <is>
          <t>김채영</t>
        </is>
      </c>
      <c r="F21" s="22" t="inlineStr">
        <is>
          <t>이사보</t>
        </is>
      </c>
    </row>
    <row r="22" ht="13.5" customFormat="1" customHeight="1" s="11">
      <c r="A22" s="22" t="n">
        <v>4</v>
      </c>
      <c r="B22" s="22" t="inlineStr">
        <is>
          <t>11층</t>
        </is>
      </c>
      <c r="C22" s="22" t="inlineStr">
        <is>
          <t>사업관리본부</t>
        </is>
      </c>
      <c r="D22" s="22" t="inlineStr">
        <is>
          <t>설계실</t>
        </is>
      </c>
      <c r="E22" s="22" t="inlineStr">
        <is>
          <t>김태은</t>
        </is>
      </c>
      <c r="F22" s="22" t="inlineStr">
        <is>
          <t>과장</t>
        </is>
      </c>
    </row>
    <row r="23" ht="13.5" customFormat="1" customHeight="1" s="11">
      <c r="A23" s="22" t="n">
        <v>5</v>
      </c>
      <c r="B23" s="22" t="inlineStr">
        <is>
          <t>11층</t>
        </is>
      </c>
      <c r="C23" s="22" t="inlineStr">
        <is>
          <t>사업관리본부</t>
        </is>
      </c>
      <c r="D23" s="22" t="inlineStr">
        <is>
          <t>설계실</t>
        </is>
      </c>
      <c r="E23" s="22" t="inlineStr">
        <is>
          <t>김민호</t>
        </is>
      </c>
      <c r="F23" s="22" t="inlineStr">
        <is>
          <t>대리</t>
        </is>
      </c>
    </row>
    <row r="24" ht="13.5" customHeight="1" s="53">
      <c r="A24" s="22" t="n">
        <v>6</v>
      </c>
      <c r="B24" s="22" t="inlineStr">
        <is>
          <t>11층</t>
        </is>
      </c>
      <c r="C24" s="22" t="inlineStr">
        <is>
          <t>사업관리본부</t>
        </is>
      </c>
      <c r="D24" s="22" t="inlineStr">
        <is>
          <t>설계실</t>
        </is>
      </c>
      <c r="E24" s="22" t="inlineStr">
        <is>
          <t>이수영</t>
        </is>
      </c>
      <c r="F24" s="22" t="inlineStr">
        <is>
          <t>주임</t>
        </is>
      </c>
    </row>
    <row r="25" ht="14.25" customFormat="1" customHeight="1" s="11" thickBot="1">
      <c r="A25" s="22" t="n">
        <v>7</v>
      </c>
      <c r="B25" s="22" t="inlineStr">
        <is>
          <t>11층</t>
        </is>
      </c>
      <c r="C25" s="22" t="inlineStr">
        <is>
          <t>사업관리본부</t>
        </is>
      </c>
      <c r="D25" s="22" t="inlineStr">
        <is>
          <t>설계실</t>
        </is>
      </c>
      <c r="E25" s="22" t="inlineStr">
        <is>
          <t>최수용</t>
        </is>
      </c>
      <c r="F25" s="22" t="inlineStr">
        <is>
          <t>사원</t>
        </is>
      </c>
    </row>
    <row r="26" ht="14.25" customFormat="1" customHeight="1" s="11" thickTop="1">
      <c r="A26" s="22" t="n">
        <v>8</v>
      </c>
      <c r="B26" s="22" t="inlineStr">
        <is>
          <t>11층</t>
        </is>
      </c>
      <c r="C26" s="22" t="inlineStr">
        <is>
          <t>사업관리본부</t>
        </is>
      </c>
      <c r="D26" s="22" t="inlineStr">
        <is>
          <t>사업관리본부</t>
        </is>
      </c>
      <c r="E26" s="22" t="inlineStr">
        <is>
          <t>김동우</t>
        </is>
      </c>
      <c r="F26" s="22" t="inlineStr">
        <is>
          <t>부사장</t>
        </is>
      </c>
    </row>
    <row r="27" ht="13.5" customFormat="1" customHeight="1" s="11">
      <c r="A27" s="22" t="n">
        <v>9</v>
      </c>
      <c r="B27" s="22" t="inlineStr">
        <is>
          <t>11층</t>
        </is>
      </c>
      <c r="C27" s="22" t="inlineStr">
        <is>
          <t>사업관리본부</t>
        </is>
      </c>
      <c r="D27" s="22" t="inlineStr">
        <is>
          <t>사업관리본부</t>
        </is>
      </c>
      <c r="E27" s="22" t="inlineStr">
        <is>
          <t>이성규</t>
        </is>
      </c>
      <c r="F27" s="22" t="inlineStr">
        <is>
          <t>차장</t>
        </is>
      </c>
    </row>
    <row r="28" ht="13.5" customHeight="1" s="53">
      <c r="A28" s="22" t="n">
        <v>10</v>
      </c>
      <c r="B28" s="22" t="inlineStr">
        <is>
          <t>11층</t>
        </is>
      </c>
      <c r="C28" s="22" t="inlineStr">
        <is>
          <t>사업관리본부</t>
        </is>
      </c>
      <c r="D28" s="22" t="inlineStr">
        <is>
          <t>사업관리본부</t>
        </is>
      </c>
      <c r="E28" s="22" t="inlineStr">
        <is>
          <t>이강호</t>
        </is>
      </c>
      <c r="F28" s="22" t="inlineStr">
        <is>
          <t>차장</t>
        </is>
      </c>
    </row>
    <row r="29" ht="13.5" customHeight="1" s="53">
      <c r="A29" s="22" t="n">
        <v>11</v>
      </c>
      <c r="B29" s="22" t="inlineStr">
        <is>
          <t>11층</t>
        </is>
      </c>
      <c r="C29" s="22" t="inlineStr">
        <is>
          <t>사업관리본부</t>
        </is>
      </c>
      <c r="D29" s="22" t="inlineStr">
        <is>
          <t>사업관리본부</t>
        </is>
      </c>
      <c r="E29" s="22" t="inlineStr">
        <is>
          <t>김동규</t>
        </is>
      </c>
      <c r="F29" s="22" t="inlineStr">
        <is>
          <t>부장</t>
        </is>
      </c>
    </row>
    <row r="30" ht="13.5" customHeight="1" s="53">
      <c r="A30" s="22" t="n">
        <v>12</v>
      </c>
      <c r="B30" s="22" t="inlineStr">
        <is>
          <t>11층</t>
        </is>
      </c>
      <c r="C30" s="22" t="inlineStr">
        <is>
          <t>사업관리본부</t>
        </is>
      </c>
      <c r="D30" s="22" t="inlineStr">
        <is>
          <t>사업관리1실</t>
        </is>
      </c>
      <c r="E30" s="22" t="inlineStr">
        <is>
          <t>김승현</t>
        </is>
      </c>
      <c r="F30" s="22" t="inlineStr">
        <is>
          <t>상무</t>
        </is>
      </c>
    </row>
    <row r="31" ht="13.5" customHeight="1" s="53">
      <c r="A31" s="22" t="n">
        <v>13</v>
      </c>
      <c r="B31" s="22" t="inlineStr">
        <is>
          <t>11층</t>
        </is>
      </c>
      <c r="C31" s="22" t="inlineStr">
        <is>
          <t>사업관리본부</t>
        </is>
      </c>
      <c r="D31" s="22" t="inlineStr">
        <is>
          <t>사업관리1실</t>
        </is>
      </c>
      <c r="E31" s="22" t="inlineStr">
        <is>
          <t>조지은</t>
        </is>
      </c>
      <c r="F31" s="22" t="inlineStr">
        <is>
          <t>이사보</t>
        </is>
      </c>
    </row>
    <row r="32" ht="13.5" customHeight="1" s="53">
      <c r="A32" s="22" t="n">
        <v>14</v>
      </c>
      <c r="B32" s="22" t="inlineStr">
        <is>
          <t>11층</t>
        </is>
      </c>
      <c r="C32" s="22" t="inlineStr">
        <is>
          <t>사업관리본부</t>
        </is>
      </c>
      <c r="D32" s="22" t="inlineStr">
        <is>
          <t>사업관리1실</t>
        </is>
      </c>
      <c r="E32" s="22" t="inlineStr">
        <is>
          <t>이예솔</t>
        </is>
      </c>
      <c r="F32" s="22" t="inlineStr">
        <is>
          <t>과장</t>
        </is>
      </c>
    </row>
    <row r="33" ht="13.5" customHeight="1" s="53">
      <c r="A33" s="22" t="n">
        <v>15</v>
      </c>
      <c r="B33" s="22" t="inlineStr">
        <is>
          <t>11층</t>
        </is>
      </c>
      <c r="C33" s="22" t="inlineStr">
        <is>
          <t>사업관리본부</t>
        </is>
      </c>
      <c r="D33" s="22" t="inlineStr">
        <is>
          <t>사업관리1실</t>
        </is>
      </c>
      <c r="E33" s="22" t="inlineStr">
        <is>
          <t>류승호</t>
        </is>
      </c>
      <c r="F33" s="22" t="inlineStr">
        <is>
          <t>과장</t>
        </is>
      </c>
    </row>
    <row r="34" ht="13.5" customHeight="1" s="53">
      <c r="A34" s="22" t="n">
        <v>16</v>
      </c>
      <c r="B34" s="22" t="inlineStr">
        <is>
          <t>11층</t>
        </is>
      </c>
      <c r="C34" s="22" t="inlineStr">
        <is>
          <t>사업관리본부</t>
        </is>
      </c>
      <c r="D34" s="22" t="inlineStr">
        <is>
          <t>사업관리2실</t>
        </is>
      </c>
      <c r="E34" s="22" t="inlineStr">
        <is>
          <t>주현철</t>
        </is>
      </c>
      <c r="F34" s="22" t="inlineStr">
        <is>
          <t>상무</t>
        </is>
      </c>
    </row>
    <row r="35" ht="13.5" customHeight="1" s="53">
      <c r="A35" s="22" t="n">
        <v>17</v>
      </c>
      <c r="B35" s="22" t="inlineStr">
        <is>
          <t>11층</t>
        </is>
      </c>
      <c r="C35" s="22" t="inlineStr">
        <is>
          <t>사업관리본부</t>
        </is>
      </c>
      <c r="D35" s="22" t="inlineStr">
        <is>
          <t>사업관리2실</t>
        </is>
      </c>
      <c r="E35" s="22" t="inlineStr">
        <is>
          <t>이완구</t>
        </is>
      </c>
      <c r="F35" s="22" t="inlineStr">
        <is>
          <t>이사보</t>
        </is>
      </c>
    </row>
    <row r="36" ht="13.5" customHeight="1" s="53">
      <c r="A36" s="22" t="n">
        <v>18</v>
      </c>
      <c r="B36" s="22" t="inlineStr">
        <is>
          <t>11층</t>
        </is>
      </c>
      <c r="C36" s="22" t="inlineStr">
        <is>
          <t>사업관리본부</t>
        </is>
      </c>
      <c r="D36" s="22" t="inlineStr">
        <is>
          <t>사업관리2실</t>
        </is>
      </c>
      <c r="E36" s="22" t="inlineStr">
        <is>
          <t>황진욱</t>
        </is>
      </c>
      <c r="F36" s="22" t="inlineStr">
        <is>
          <t>대리</t>
        </is>
      </c>
    </row>
    <row r="37" ht="13.5" customHeight="1" s="53">
      <c r="A37" s="22" t="n">
        <v>19</v>
      </c>
      <c r="B37" s="22" t="inlineStr">
        <is>
          <t>11층</t>
        </is>
      </c>
      <c r="C37" s="22" t="inlineStr">
        <is>
          <t>사업관리본부</t>
        </is>
      </c>
      <c r="D37" s="22" t="inlineStr">
        <is>
          <t>사업관리2실</t>
        </is>
      </c>
      <c r="E37" s="22" t="inlineStr">
        <is>
          <t>문광정</t>
        </is>
      </c>
      <c r="F37" s="22" t="inlineStr">
        <is>
          <t>부장</t>
        </is>
      </c>
    </row>
    <row r="38" ht="13.5" customFormat="1" customHeight="1" s="11">
      <c r="A38" s="22" t="n">
        <v>20</v>
      </c>
      <c r="B38" s="22" t="inlineStr">
        <is>
          <t>11층</t>
        </is>
      </c>
      <c r="C38" s="22" t="inlineStr">
        <is>
          <t>사업관리본부</t>
        </is>
      </c>
      <c r="D38" s="22" t="inlineStr">
        <is>
          <t>사업관리2실</t>
        </is>
      </c>
      <c r="E38" s="22" t="inlineStr">
        <is>
          <t>정연석</t>
        </is>
      </c>
      <c r="F38" s="22" t="inlineStr">
        <is>
          <t>대리</t>
        </is>
      </c>
      <c r="G38" s="10" t="n"/>
    </row>
    <row r="39" ht="13.5" customFormat="1" customHeight="1" s="11">
      <c r="A39" s="22" t="n">
        <v>21</v>
      </c>
      <c r="B39" s="22" t="inlineStr">
        <is>
          <t>11층</t>
        </is>
      </c>
      <c r="C39" s="22" t="inlineStr">
        <is>
          <t>사업관리본부</t>
        </is>
      </c>
      <c r="D39" s="22" t="inlineStr">
        <is>
          <t>사업관리2실</t>
        </is>
      </c>
      <c r="E39" s="22" t="inlineStr">
        <is>
          <t>김진규</t>
        </is>
      </c>
      <c r="F39" s="22" t="inlineStr">
        <is>
          <t>대리</t>
        </is>
      </c>
      <c r="G39" s="10" t="n"/>
    </row>
    <row r="40" ht="14.25" customHeight="1" s="53" thickBot="1">
      <c r="A40" s="22" t="n">
        <v>22</v>
      </c>
      <c r="B40" s="22" t="inlineStr">
        <is>
          <t>11층</t>
        </is>
      </c>
      <c r="C40" s="22" t="inlineStr">
        <is>
          <t>사업관리본부</t>
        </is>
      </c>
      <c r="D40" s="22" t="inlineStr">
        <is>
          <t>사업관리2실</t>
        </is>
      </c>
      <c r="E40" s="22" t="inlineStr">
        <is>
          <t>연지현</t>
        </is>
      </c>
      <c r="F40" s="22" t="inlineStr">
        <is>
          <t>주임</t>
        </is>
      </c>
    </row>
    <row r="41" ht="17.25" customHeight="1" s="53" thickTop="1"/>
    <row r="50">
      <c r="C50" s="0" t="n"/>
      <c r="D50" s="0" t="n"/>
    </row>
    <row r="51">
      <c r="C51" s="0" t="n"/>
      <c r="D51" s="0" t="n"/>
    </row>
    <row r="52">
      <c r="C52" s="0" t="n"/>
      <c r="D52" s="0" t="n"/>
    </row>
    <row r="53">
      <c r="C53" s="0" t="n"/>
      <c r="D53" s="0" t="n"/>
    </row>
    <row r="54">
      <c r="C54" s="0" t="n"/>
      <c r="D54" s="0" t="n"/>
    </row>
    <row r="55">
      <c r="C55" s="0" t="n"/>
      <c r="D55" s="0" t="n"/>
    </row>
    <row r="56">
      <c r="C56" s="0" t="n"/>
      <c r="D56" s="0" t="n"/>
    </row>
    <row r="57">
      <c r="C57" s="0" t="n"/>
      <c r="D57" s="0" t="n"/>
    </row>
    <row r="58">
      <c r="C58" s="0" t="n"/>
      <c r="D58" s="0" t="n"/>
    </row>
    <row r="59">
      <c r="C59" s="0" t="n"/>
      <c r="D59" s="0" t="n"/>
    </row>
    <row r="60">
      <c r="C60" s="0" t="n"/>
      <c r="D60" s="0" t="n"/>
    </row>
    <row r="61">
      <c r="C61" s="0" t="n"/>
      <c r="D61" s="0" t="n"/>
    </row>
    <row r="62">
      <c r="C62" s="0" t="n"/>
      <c r="D62" s="0" t="n"/>
    </row>
    <row r="63">
      <c r="C63" s="0" t="n"/>
      <c r="D63" s="0" t="n"/>
    </row>
    <row r="64">
      <c r="C64" s="0" t="n"/>
      <c r="D64" s="0" t="n"/>
    </row>
    <row r="65">
      <c r="C65" s="0" t="n"/>
      <c r="D65" s="0" t="n"/>
    </row>
    <row r="66">
      <c r="C66" s="0" t="n"/>
      <c r="D66" s="0" t="n"/>
    </row>
    <row r="67">
      <c r="C67" s="0" t="n"/>
      <c r="D67" s="0" t="n"/>
    </row>
    <row r="68">
      <c r="C68" s="0" t="n"/>
      <c r="D68" s="0" t="n"/>
    </row>
  </sheetData>
  <autoFilter ref="A1:F39">
    <sortState ref="A2:F34">
      <sortCondition ref="D1:D34"/>
    </sortState>
  </autoFilter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A1" s="12" t="n"/>
      <c r="B1" s="12" t="n"/>
      <c r="C1" s="12" t="n"/>
      <c r="D1" s="12" t="n"/>
      <c r="E1" s="46" t="n"/>
      <c r="F1" s="12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294223+7940-5</f>
        <v/>
      </c>
      <c r="E2" s="79" t="n">
        <v>29422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R&amp;D본부</t>
        </is>
      </c>
      <c r="L2" s="22" t="inlineStr">
        <is>
          <t>R&amp;D본부</t>
        </is>
      </c>
      <c r="M2" s="22" t="inlineStr">
        <is>
          <t>김갑득</t>
        </is>
      </c>
      <c r="N2" s="22" t="inlineStr">
        <is>
          <t>수석연구위원</t>
        </is>
      </c>
    </row>
    <row r="3" ht="17.25" customHeight="1" s="53" thickBot="1">
      <c r="D3" s="44" t="n"/>
      <c r="E3" s="67" t="n"/>
      <c r="I3" s="22" t="n">
        <v>2</v>
      </c>
      <c r="J3" s="22" t="inlineStr">
        <is>
          <t>13층</t>
        </is>
      </c>
      <c r="K3" s="22" t="n"/>
      <c r="L3" s="22" t="inlineStr">
        <is>
          <t>경영기획실</t>
        </is>
      </c>
      <c r="M3" s="22" t="inlineStr">
        <is>
          <t>김명진</t>
        </is>
      </c>
      <c r="N3" s="22" t="inlineStr">
        <is>
          <t>전무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22" t="inlineStr">
        <is>
          <t>13층</t>
        </is>
      </c>
      <c r="K4" s="22" t="n"/>
      <c r="L4" s="22" t="inlineStr">
        <is>
          <t>경영기획실</t>
        </is>
      </c>
      <c r="M4" s="22" t="inlineStr">
        <is>
          <t>조승제</t>
        </is>
      </c>
      <c r="N4" s="22" t="inlineStr">
        <is>
          <t>부장</t>
        </is>
      </c>
    </row>
    <row r="5">
      <c r="A5" s="72" t="inlineStr">
        <is>
          <t>신사업개발실</t>
        </is>
      </c>
      <c r="B5" s="73" t="inlineStr">
        <is>
          <t>판관</t>
        </is>
      </c>
      <c r="C5" s="74">
        <f>COUNTIF(L:L,"신사업개발실")</f>
        <v/>
      </c>
      <c r="D5" s="75">
        <f>$D$2</f>
        <v/>
      </c>
      <c r="E5" s="75">
        <f>$E$2</f>
        <v/>
      </c>
      <c r="F5" s="76">
        <f>D5+E5</f>
        <v/>
      </c>
      <c r="I5" s="22" t="n">
        <v>4</v>
      </c>
      <c r="J5" s="22" t="inlineStr">
        <is>
          <t>13층</t>
        </is>
      </c>
      <c r="K5" s="22" t="n"/>
      <c r="L5" s="22" t="inlineStr">
        <is>
          <t>경영기획실</t>
        </is>
      </c>
      <c r="M5" s="22" t="inlineStr">
        <is>
          <t>이재영</t>
        </is>
      </c>
      <c r="N5" s="22" t="inlineStr">
        <is>
          <t>과장</t>
        </is>
      </c>
    </row>
    <row r="6">
      <c r="A6" s="68" t="inlineStr">
        <is>
          <t>총합</t>
        </is>
      </c>
      <c r="B6" s="69" t="n"/>
      <c r="C6" s="70">
        <f>SUM(C5:C5)</f>
        <v/>
      </c>
      <c r="D6" s="77">
        <f>SUM(D5:D5)</f>
        <v/>
      </c>
      <c r="E6" s="77">
        <f>SUM(E5:E5)</f>
        <v/>
      </c>
      <c r="F6" s="78">
        <f>SUM(F5:F5)</f>
        <v/>
      </c>
      <c r="I6" s="22" t="n">
        <v>5</v>
      </c>
      <c r="J6" s="22" t="inlineStr">
        <is>
          <t>13층</t>
        </is>
      </c>
      <c r="K6" s="22" t="n"/>
      <c r="L6" s="22" t="inlineStr">
        <is>
          <t>경영기획실</t>
        </is>
      </c>
      <c r="M6" s="22" t="inlineStr">
        <is>
          <t>강지혜</t>
        </is>
      </c>
      <c r="N6" s="22" t="inlineStr">
        <is>
          <t>과장</t>
        </is>
      </c>
    </row>
    <row r="7" ht="17.25" customHeight="1" s="53" thickBot="1">
      <c r="A7" s="12" t="n"/>
      <c r="B7" s="12" t="n"/>
      <c r="C7" s="12" t="n"/>
      <c r="D7" s="12" t="n"/>
      <c r="E7" s="46" t="n"/>
      <c r="F7" s="12" t="n"/>
      <c r="I7" s="22" t="n">
        <v>6</v>
      </c>
      <c r="J7" s="22" t="inlineStr">
        <is>
          <t>13층</t>
        </is>
      </c>
      <c r="K7" s="22" t="n"/>
      <c r="L7" s="22" t="inlineStr">
        <is>
          <t>경영기획실</t>
        </is>
      </c>
      <c r="M7" s="22" t="inlineStr">
        <is>
          <t>이경태</t>
        </is>
      </c>
      <c r="N7" s="22" t="inlineStr">
        <is>
          <t>차장</t>
        </is>
      </c>
    </row>
    <row r="8" ht="17.25" customHeight="1" s="53" thickBot="1">
      <c r="A8" s="64" t="inlineStr">
        <is>
          <t>전기료 총액(11층)</t>
        </is>
      </c>
      <c r="B8" s="55" t="n"/>
      <c r="C8" s="56" t="n"/>
      <c r="D8" s="79">
        <f>276764+7470</f>
        <v/>
      </c>
      <c r="E8" s="79" t="n">
        <v>27676</v>
      </c>
      <c r="F8" s="66">
        <f>D8+E8</f>
        <v/>
      </c>
      <c r="I8" s="22" t="n">
        <v>7</v>
      </c>
      <c r="J8" s="22" t="inlineStr">
        <is>
          <t>13층</t>
        </is>
      </c>
      <c r="K8" s="22" t="n"/>
      <c r="L8" s="22" t="inlineStr">
        <is>
          <t>경영기획실</t>
        </is>
      </c>
      <c r="M8" s="22" t="inlineStr">
        <is>
          <t>최경천</t>
        </is>
      </c>
      <c r="N8" s="22" t="inlineStr">
        <is>
          <t>차장</t>
        </is>
      </c>
    </row>
    <row r="9" ht="17.25" customHeight="1" s="53" thickBot="1">
      <c r="D9" s="44" t="n"/>
      <c r="E9" s="67" t="n"/>
      <c r="I9" s="22" t="n">
        <v>8</v>
      </c>
      <c r="J9" s="22" t="inlineStr">
        <is>
          <t>13층</t>
        </is>
      </c>
      <c r="K9" s="22" t="n"/>
      <c r="L9" s="22" t="inlineStr">
        <is>
          <t>경영기획실</t>
        </is>
      </c>
      <c r="M9" s="22" t="inlineStr">
        <is>
          <t>이재선</t>
        </is>
      </c>
      <c r="N9" s="22" t="inlineStr">
        <is>
          <t>차장</t>
        </is>
      </c>
    </row>
    <row r="10" ht="17.25" customHeight="1" s="53" thickBot="1">
      <c r="A10" s="68" t="inlineStr">
        <is>
          <t>부서</t>
        </is>
      </c>
      <c r="B10" s="69" t="inlineStr">
        <is>
          <t>계정</t>
        </is>
      </c>
      <c r="C10" s="70" t="inlineStr">
        <is>
          <t>인원</t>
        </is>
      </c>
      <c r="D10" s="28" t="inlineStr">
        <is>
          <t>공급가</t>
        </is>
      </c>
      <c r="E10" s="71" t="inlineStr">
        <is>
          <t>부가세</t>
        </is>
      </c>
      <c r="F10" s="30" t="inlineStr">
        <is>
          <t>합계</t>
        </is>
      </c>
      <c r="I10" s="22" t="n">
        <v>9</v>
      </c>
      <c r="J10" s="22" t="inlineStr">
        <is>
          <t>13층</t>
        </is>
      </c>
      <c r="K10" s="22" t="n"/>
      <c r="L10" s="22" t="inlineStr">
        <is>
          <t>경영기획실</t>
        </is>
      </c>
      <c r="M10" s="22" t="inlineStr">
        <is>
          <t>이황</t>
        </is>
      </c>
      <c r="N10" s="22" t="inlineStr">
        <is>
          <t>과장</t>
        </is>
      </c>
    </row>
    <row r="11" ht="17.25" customHeight="1" s="53" thickBot="1">
      <c r="A11" s="72" t="inlineStr">
        <is>
          <t>설계실</t>
        </is>
      </c>
      <c r="B11" s="73" t="inlineStr">
        <is>
          <t>제조</t>
        </is>
      </c>
      <c r="C11" s="74">
        <f>COUNTIF(L:L,"설계실")</f>
        <v/>
      </c>
      <c r="D11" s="75">
        <f>ROUND($D$8/$C$15*C11,0)</f>
        <v/>
      </c>
      <c r="E11" s="75">
        <f>ROUND($E$8/$C$15*C11,0)</f>
        <v/>
      </c>
      <c r="F11" s="76">
        <f>D11+E11</f>
        <v/>
      </c>
      <c r="I11" s="22" t="n">
        <v>10</v>
      </c>
      <c r="J11" s="22" t="inlineStr">
        <is>
          <t>13층</t>
        </is>
      </c>
      <c r="K11" s="22" t="n"/>
      <c r="L11" s="22" t="inlineStr">
        <is>
          <t>경영기획실</t>
        </is>
      </c>
      <c r="M11" s="22" t="inlineStr">
        <is>
          <t>강소영</t>
        </is>
      </c>
      <c r="N11" s="22" t="inlineStr">
        <is>
          <t>대리</t>
        </is>
      </c>
    </row>
    <row r="12" ht="17.25" customHeight="1" s="53" thickBot="1">
      <c r="A12" s="72" t="inlineStr">
        <is>
          <t>사업관리본부</t>
        </is>
      </c>
      <c r="B12" s="73" t="inlineStr">
        <is>
          <t>판관</t>
        </is>
      </c>
      <c r="C12" s="74">
        <f>COUNTIF(L:L,"사업관리본부")</f>
        <v/>
      </c>
      <c r="D12" s="75">
        <f>ROUND($D$8/$C$15*C12,0)</f>
        <v/>
      </c>
      <c r="E12" s="75">
        <f>ROUND($E$8/$C$15*C12,0)</f>
        <v/>
      </c>
      <c r="F12" s="76">
        <f>D12+E12</f>
        <v/>
      </c>
      <c r="I12" s="22" t="n">
        <v>11</v>
      </c>
      <c r="J12" s="22" t="inlineStr">
        <is>
          <t>13층</t>
        </is>
      </c>
      <c r="K12" s="22" t="inlineStr">
        <is>
          <t>R&amp;D본부</t>
        </is>
      </c>
      <c r="L12" s="22" t="inlineStr">
        <is>
          <t>표준모델 개발TF</t>
        </is>
      </c>
      <c r="M12" s="22" t="inlineStr">
        <is>
          <t>최진달미</t>
        </is>
      </c>
      <c r="N12" s="22" t="inlineStr">
        <is>
          <t>수석연구위원</t>
        </is>
      </c>
    </row>
    <row r="13" ht="17.25" customHeight="1" s="53">
      <c r="A13" s="72" t="inlineStr">
        <is>
          <t>사업관리1실</t>
        </is>
      </c>
      <c r="B13" s="73" t="inlineStr">
        <is>
          <t>판관</t>
        </is>
      </c>
      <c r="C13" s="74">
        <f>COUNTIF(L:L,"사업관리1실")</f>
        <v/>
      </c>
      <c r="D13" s="75">
        <f>ROUND($D$8/$C$15*C13,0)</f>
        <v/>
      </c>
      <c r="E13" s="75">
        <f>ROUND($E$8/$C$15*C13,0)</f>
        <v/>
      </c>
      <c r="F13" s="76">
        <f>D13+E13</f>
        <v/>
      </c>
      <c r="I13" s="22" t="n">
        <v>12</v>
      </c>
      <c r="J13" s="22" t="inlineStr">
        <is>
          <t>13층</t>
        </is>
      </c>
      <c r="K13" s="22" t="inlineStr">
        <is>
          <t>R&amp;D본부</t>
        </is>
      </c>
      <c r="L13" s="22" t="inlineStr">
        <is>
          <t>표준모델 개발TF</t>
        </is>
      </c>
      <c r="M13" s="22" t="inlineStr">
        <is>
          <t>오한솔</t>
        </is>
      </c>
      <c r="N13" s="22" t="inlineStr">
        <is>
          <t>연구원</t>
        </is>
      </c>
    </row>
    <row r="14">
      <c r="A14" s="72" t="inlineStr">
        <is>
          <t>사업관리2실</t>
        </is>
      </c>
      <c r="B14" s="73" t="inlineStr">
        <is>
          <t>판관</t>
        </is>
      </c>
      <c r="C14" s="74">
        <f>COUNTIF(L:L,"사업관리2실")</f>
        <v/>
      </c>
      <c r="D14" s="75">
        <f>$D$8-SUM(D11:D13)</f>
        <v/>
      </c>
      <c r="E14" s="75">
        <f>$E$8-SUM(E11:E13)</f>
        <v/>
      </c>
      <c r="F14" s="76">
        <f>D14+E14</f>
        <v/>
      </c>
      <c r="I14" s="22" t="n">
        <v>13</v>
      </c>
      <c r="J14" s="22" t="inlineStr">
        <is>
          <t>13층</t>
        </is>
      </c>
      <c r="K14" s="22" t="inlineStr">
        <is>
          <t>R&amp;D본부</t>
        </is>
      </c>
      <c r="L14" s="22" t="inlineStr">
        <is>
          <t>D-LAB 2실</t>
        </is>
      </c>
      <c r="M14" s="22" t="inlineStr">
        <is>
          <t>최수지</t>
        </is>
      </c>
      <c r="N14" s="22" t="inlineStr">
        <is>
          <t>책임연구원</t>
        </is>
      </c>
    </row>
    <row r="15">
      <c r="A15" s="68" t="inlineStr">
        <is>
          <t>총합</t>
        </is>
      </c>
      <c r="B15" s="69" t="n"/>
      <c r="C15" s="70">
        <f>SUM(C11:C14)</f>
        <v/>
      </c>
      <c r="D15" s="77">
        <f>SUM(D11:D14)</f>
        <v/>
      </c>
      <c r="E15" s="77">
        <f>SUM(E11:E14)</f>
        <v/>
      </c>
      <c r="F15" s="78">
        <f>SUM(F11:F14)</f>
        <v/>
      </c>
      <c r="I15" s="22" t="n">
        <v>1</v>
      </c>
      <c r="J15" s="22" t="inlineStr">
        <is>
          <t>6층</t>
        </is>
      </c>
      <c r="K15" s="22" t="n"/>
      <c r="L15" s="22" t="inlineStr">
        <is>
          <t>신사업개발실</t>
        </is>
      </c>
      <c r="M15" s="22" t="inlineStr">
        <is>
          <t>김태우</t>
        </is>
      </c>
      <c r="N15" s="22" t="inlineStr">
        <is>
          <t>상무</t>
        </is>
      </c>
    </row>
    <row r="16">
      <c r="A16" s="12" t="n"/>
      <c r="B16" s="12" t="n"/>
      <c r="C16" s="12" t="n"/>
      <c r="D16" s="12" t="n"/>
      <c r="E16" s="46" t="n"/>
      <c r="F16" s="12" t="n"/>
      <c r="I16" s="22" t="n">
        <v>2</v>
      </c>
      <c r="J16" s="22" t="inlineStr">
        <is>
          <t>6층</t>
        </is>
      </c>
      <c r="K16" s="22" t="n"/>
      <c r="L16" s="22" t="inlineStr">
        <is>
          <t>신사업개발실</t>
        </is>
      </c>
      <c r="M16" s="22" t="inlineStr">
        <is>
          <t>김순성</t>
        </is>
      </c>
      <c r="N16" s="22" t="inlineStr">
        <is>
          <t>고문</t>
        </is>
      </c>
    </row>
    <row r="17" ht="17.25" customHeight="1" s="53" thickBot="1">
      <c r="A17" s="64" t="inlineStr">
        <is>
          <t>전기료 총액(13층)</t>
        </is>
      </c>
      <c r="B17" s="55" t="n"/>
      <c r="C17" s="56" t="n"/>
      <c r="D17" s="79">
        <f>308764+8330</f>
        <v/>
      </c>
      <c r="E17" s="79" t="n">
        <v>30876</v>
      </c>
      <c r="F17" s="66">
        <f>D17+E17</f>
        <v/>
      </c>
      <c r="I17" s="22" t="n">
        <v>3</v>
      </c>
      <c r="J17" s="22" t="inlineStr">
        <is>
          <t>6층</t>
        </is>
      </c>
      <c r="K17" s="22" t="n"/>
      <c r="L17" s="22" t="inlineStr">
        <is>
          <t>신사업개발실</t>
        </is>
      </c>
      <c r="M17" s="22" t="inlineStr">
        <is>
          <t>박종철</t>
        </is>
      </c>
      <c r="N17" s="22" t="inlineStr">
        <is>
          <t>이사보</t>
        </is>
      </c>
    </row>
    <row r="18" ht="17.25" customHeight="1" s="53" thickBot="1">
      <c r="D18" s="44" t="n"/>
      <c r="E18" s="67" t="n"/>
      <c r="I18" s="22" t="n">
        <v>4</v>
      </c>
      <c r="J18" s="22" t="inlineStr">
        <is>
          <t>6층</t>
        </is>
      </c>
      <c r="K18" s="22" t="n"/>
      <c r="L18" s="22" t="inlineStr">
        <is>
          <t>신사업개발실</t>
        </is>
      </c>
      <c r="M18" s="22" t="inlineStr">
        <is>
          <t>이정진</t>
        </is>
      </c>
      <c r="N18" s="22" t="inlineStr">
        <is>
          <t>부장</t>
        </is>
      </c>
    </row>
    <row r="19" ht="17.25" customHeight="1" s="53" thickBot="1">
      <c r="A19" s="68" t="inlineStr">
        <is>
          <t>부서</t>
        </is>
      </c>
      <c r="B19" s="69" t="inlineStr">
        <is>
          <t>계정</t>
        </is>
      </c>
      <c r="C19" s="70" t="inlineStr">
        <is>
          <t>인원</t>
        </is>
      </c>
      <c r="D19" s="28" t="inlineStr">
        <is>
          <t>공급가</t>
        </is>
      </c>
      <c r="E19" s="71" t="inlineStr">
        <is>
          <t>부가세</t>
        </is>
      </c>
      <c r="F19" s="30" t="inlineStr">
        <is>
          <t>합계</t>
        </is>
      </c>
      <c r="I19" s="22" t="n">
        <v>1</v>
      </c>
      <c r="J19" s="22" t="inlineStr">
        <is>
          <t>11층</t>
        </is>
      </c>
      <c r="K19" s="22" t="inlineStr">
        <is>
          <t>사업관리본부</t>
        </is>
      </c>
      <c r="L19" s="22" t="inlineStr">
        <is>
          <t>설계실</t>
        </is>
      </c>
      <c r="M19" s="22" t="inlineStr">
        <is>
          <t>오진택</t>
        </is>
      </c>
      <c r="N19" s="22" t="inlineStr">
        <is>
          <t>부사장</t>
        </is>
      </c>
    </row>
    <row r="20" ht="17.25" customHeight="1" s="53" thickBot="1">
      <c r="A20" s="72" t="inlineStr">
        <is>
          <t>경영기획실</t>
        </is>
      </c>
      <c r="B20" s="73" t="inlineStr">
        <is>
          <t>판관</t>
        </is>
      </c>
      <c r="C20" s="74">
        <f>COUNTIF(L:L,"경영기획실")</f>
        <v/>
      </c>
      <c r="D20" s="75">
        <f>ROUND($D$17/$C$24*C20,0)</f>
        <v/>
      </c>
      <c r="E20" s="75">
        <f>ROUND($E$17/$C$24*C20,0)</f>
        <v/>
      </c>
      <c r="F20" s="76">
        <f>D20+E20</f>
        <v/>
      </c>
      <c r="I20" s="22" t="n">
        <v>2</v>
      </c>
      <c r="J20" s="22" t="inlineStr">
        <is>
          <t>11층</t>
        </is>
      </c>
      <c r="K20" s="22" t="inlineStr">
        <is>
          <t>사업관리본부</t>
        </is>
      </c>
      <c r="L20" s="22" t="inlineStr">
        <is>
          <t>설계실</t>
        </is>
      </c>
      <c r="M20" s="22" t="inlineStr">
        <is>
          <t>최우제</t>
        </is>
      </c>
      <c r="N20" s="22" t="inlineStr">
        <is>
          <t>상무</t>
        </is>
      </c>
    </row>
    <row r="21" ht="17.25" customHeight="1" s="53" thickBot="1">
      <c r="A21" s="72" t="inlineStr">
        <is>
          <t>R&amp;D본부</t>
        </is>
      </c>
      <c r="B21" s="73" t="inlineStr">
        <is>
          <t>연구</t>
        </is>
      </c>
      <c r="C21" s="74">
        <f>COUNTIF(L:L,"R&amp;D본부")</f>
        <v/>
      </c>
      <c r="D21" s="75">
        <f>ROUND($D$17/$C$24*C21,0)</f>
        <v/>
      </c>
      <c r="E21" s="75">
        <f>ROUND($E$17/$C$24*C21,0)</f>
        <v/>
      </c>
      <c r="F21" s="76">
        <f>D21+E21</f>
        <v/>
      </c>
      <c r="I21" s="22" t="n">
        <v>3</v>
      </c>
      <c r="J21" s="22" t="inlineStr">
        <is>
          <t>11층</t>
        </is>
      </c>
      <c r="K21" s="22" t="inlineStr">
        <is>
          <t>사업관리본부</t>
        </is>
      </c>
      <c r="L21" s="22" t="inlineStr">
        <is>
          <t>설계실</t>
        </is>
      </c>
      <c r="M21" s="22" t="inlineStr">
        <is>
          <t>김채영</t>
        </is>
      </c>
      <c r="N21" s="22" t="inlineStr">
        <is>
          <t>이사보</t>
        </is>
      </c>
    </row>
    <row r="22" ht="17.25" customHeight="1" s="53" thickBot="1">
      <c r="A22" s="72" t="inlineStr">
        <is>
          <t>표준모델 개발TF</t>
        </is>
      </c>
      <c r="B22" s="73" t="inlineStr">
        <is>
          <t>연구</t>
        </is>
      </c>
      <c r="C22" s="74">
        <f>COUNTIF(L:L,"표준모델 개발TF")</f>
        <v/>
      </c>
      <c r="D22" s="75">
        <f>ROUND($D$17/$C$24*C22,0)</f>
        <v/>
      </c>
      <c r="E22" s="75">
        <f>ROUND($E$17/$C$24*C22,0)</f>
        <v/>
      </c>
      <c r="F22" s="76">
        <f>D22+E22</f>
        <v/>
      </c>
      <c r="I22" s="22" t="n">
        <v>4</v>
      </c>
      <c r="J22" s="22" t="inlineStr">
        <is>
          <t>11층</t>
        </is>
      </c>
      <c r="K22" s="22" t="inlineStr">
        <is>
          <t>사업관리본부</t>
        </is>
      </c>
      <c r="L22" s="22" t="inlineStr">
        <is>
          <t>설계실</t>
        </is>
      </c>
      <c r="M22" s="22" t="inlineStr">
        <is>
          <t>김태은</t>
        </is>
      </c>
      <c r="N22" s="22" t="inlineStr">
        <is>
          <t>과장</t>
        </is>
      </c>
    </row>
    <row r="23" ht="17.25" customHeight="1" s="53">
      <c r="A23" s="72" t="inlineStr">
        <is>
          <t>D-LAB 2실</t>
        </is>
      </c>
      <c r="B23" s="73" t="inlineStr">
        <is>
          <t>연구</t>
        </is>
      </c>
      <c r="C23" s="74">
        <f>COUNTIF(L:L,"D-LAB 2실")</f>
        <v/>
      </c>
      <c r="D23" s="75">
        <f>$D$17-SUM(D20:D22)</f>
        <v/>
      </c>
      <c r="E23" s="75">
        <f>$E$17-SUM(E20:E22)</f>
        <v/>
      </c>
      <c r="F23" s="76">
        <f>D23+E23</f>
        <v/>
      </c>
      <c r="I23" s="22" t="n">
        <v>5</v>
      </c>
      <c r="J23" s="22" t="inlineStr">
        <is>
          <t>11층</t>
        </is>
      </c>
      <c r="K23" s="22" t="inlineStr">
        <is>
          <t>사업관리본부</t>
        </is>
      </c>
      <c r="L23" s="22" t="inlineStr">
        <is>
          <t>설계실</t>
        </is>
      </c>
      <c r="M23" s="22" t="inlineStr">
        <is>
          <t>김민호</t>
        </is>
      </c>
      <c r="N23" s="22" t="inlineStr">
        <is>
          <t>대리</t>
        </is>
      </c>
    </row>
    <row r="24">
      <c r="A24" s="68" t="inlineStr">
        <is>
          <t>총합</t>
        </is>
      </c>
      <c r="B24" s="69" t="n"/>
      <c r="C24" s="70">
        <f>SUM(C20:C23)</f>
        <v/>
      </c>
      <c r="D24" s="77">
        <f>SUM(D20:D23)</f>
        <v/>
      </c>
      <c r="E24" s="77">
        <f>SUM(E20:E23)</f>
        <v/>
      </c>
      <c r="F24" s="78">
        <f>SUM(F20:F23)</f>
        <v/>
      </c>
      <c r="I24" s="22" t="n">
        <v>6</v>
      </c>
      <c r="J24" s="22" t="inlineStr">
        <is>
          <t>11층</t>
        </is>
      </c>
      <c r="K24" s="22" t="inlineStr">
        <is>
          <t>사업관리본부</t>
        </is>
      </c>
      <c r="L24" s="22" t="inlineStr">
        <is>
          <t>설계실</t>
        </is>
      </c>
      <c r="M24" s="22" t="inlineStr">
        <is>
          <t>이수영</t>
        </is>
      </c>
      <c r="N24" s="22" t="inlineStr">
        <is>
          <t>주임</t>
        </is>
      </c>
    </row>
    <row r="25" ht="17.25" customHeight="1" s="53" thickBot="1">
      <c r="A25" s="12" t="n"/>
      <c r="B25" s="12" t="n"/>
      <c r="C25" s="12" t="n"/>
      <c r="D25" s="12" t="n"/>
      <c r="E25" s="46" t="n"/>
      <c r="F25" s="12" t="n"/>
      <c r="I25" s="22" t="n">
        <v>7</v>
      </c>
      <c r="J25" s="22" t="inlineStr">
        <is>
          <t>11층</t>
        </is>
      </c>
      <c r="K25" s="22" t="inlineStr">
        <is>
          <t>사업관리본부</t>
        </is>
      </c>
      <c r="L25" s="22" t="inlineStr">
        <is>
          <t>설계실</t>
        </is>
      </c>
      <c r="M25" s="22" t="inlineStr">
        <is>
          <t>최수용</t>
        </is>
      </c>
      <c r="N25" s="22" t="inlineStr">
        <is>
          <t>사원</t>
        </is>
      </c>
    </row>
    <row r="26" ht="17.25" customHeight="1" s="53" thickBot="1" thickTop="1">
      <c r="A26" s="12" t="n"/>
      <c r="B26" s="12" t="n"/>
      <c r="C26" s="12" t="n"/>
      <c r="D26" s="12" t="n"/>
      <c r="E26" s="46" t="n"/>
      <c r="F26" s="12" t="n"/>
      <c r="I26" s="22" t="n">
        <v>8</v>
      </c>
      <c r="J26" s="22" t="inlineStr">
        <is>
          <t>11층</t>
        </is>
      </c>
      <c r="K26" s="22" t="inlineStr">
        <is>
          <t>사업관리본부</t>
        </is>
      </c>
      <c r="L26" s="22" t="inlineStr">
        <is>
          <t>사업관리본부</t>
        </is>
      </c>
      <c r="M26" s="22" t="inlineStr">
        <is>
          <t>김동우</t>
        </is>
      </c>
      <c r="N26" s="22" t="inlineStr">
        <is>
          <t>부사장</t>
        </is>
      </c>
    </row>
    <row r="27" ht="18" customHeight="1" s="53">
      <c r="A27" s="12" t="n"/>
      <c r="B27" s="12" t="n"/>
      <c r="C27" s="12" t="n"/>
      <c r="D27" s="12" t="n"/>
      <c r="E27" s="46" t="n"/>
      <c r="F27" s="12" t="n"/>
      <c r="I27" s="22" t="n">
        <v>9</v>
      </c>
      <c r="J27" s="22" t="inlineStr">
        <is>
          <t>11층</t>
        </is>
      </c>
      <c r="K27" s="22" t="inlineStr">
        <is>
          <t>사업관리본부</t>
        </is>
      </c>
      <c r="L27" s="22" t="inlineStr">
        <is>
          <t>사업관리본부</t>
        </is>
      </c>
      <c r="M27" s="22" t="inlineStr">
        <is>
          <t>이성규</t>
        </is>
      </c>
      <c r="N27" s="22" t="inlineStr">
        <is>
          <t>차장</t>
        </is>
      </c>
    </row>
    <row r="28">
      <c r="A28" s="12" t="n"/>
      <c r="B28" s="12" t="n"/>
      <c r="C28" s="12" t="n"/>
      <c r="D28" s="12" t="n"/>
      <c r="E28" s="46" t="n"/>
      <c r="F28" s="12" t="n"/>
      <c r="I28" s="22" t="n">
        <v>10</v>
      </c>
      <c r="J28" s="22" t="inlineStr">
        <is>
          <t>11층</t>
        </is>
      </c>
      <c r="K28" s="22" t="inlineStr">
        <is>
          <t>사업관리본부</t>
        </is>
      </c>
      <c r="L28" s="22" t="inlineStr">
        <is>
          <t>사업관리본부</t>
        </is>
      </c>
      <c r="M28" s="22" t="inlineStr">
        <is>
          <t>이강호</t>
        </is>
      </c>
      <c r="N28" s="22" t="inlineStr">
        <is>
          <t>차장</t>
        </is>
      </c>
    </row>
    <row r="29">
      <c r="A29" s="12" t="n"/>
      <c r="B29" s="12" t="n"/>
      <c r="C29" s="12" t="n"/>
      <c r="D29" s="12" t="n"/>
      <c r="E29" s="46" t="n"/>
      <c r="F29" s="12" t="n"/>
      <c r="I29" s="22" t="n">
        <v>11</v>
      </c>
      <c r="J29" s="22" t="inlineStr">
        <is>
          <t>11층</t>
        </is>
      </c>
      <c r="K29" s="22" t="inlineStr">
        <is>
          <t>사업관리본부</t>
        </is>
      </c>
      <c r="L29" s="22" t="inlineStr">
        <is>
          <t>사업관리본부</t>
        </is>
      </c>
      <c r="M29" s="22" t="inlineStr">
        <is>
          <t>김동규</t>
        </is>
      </c>
      <c r="N29" s="22" t="inlineStr">
        <is>
          <t>부장</t>
        </is>
      </c>
    </row>
    <row r="30">
      <c r="A30" s="12" t="n"/>
      <c r="B30" s="12" t="n"/>
      <c r="C30" s="12" t="n"/>
      <c r="D30" s="12" t="n"/>
      <c r="E30" s="46" t="n"/>
      <c r="F30" s="12" t="n"/>
      <c r="I30" s="22" t="n">
        <v>12</v>
      </c>
      <c r="J30" s="22" t="inlineStr">
        <is>
          <t>11층</t>
        </is>
      </c>
      <c r="K30" s="22" t="inlineStr">
        <is>
          <t>사업관리본부</t>
        </is>
      </c>
      <c r="L30" s="22" t="inlineStr">
        <is>
          <t>사업관리1실</t>
        </is>
      </c>
      <c r="M30" s="22" t="inlineStr">
        <is>
          <t>김승현</t>
        </is>
      </c>
      <c r="N30" s="22" t="inlineStr">
        <is>
          <t>상무</t>
        </is>
      </c>
    </row>
    <row r="31">
      <c r="A31" s="12" t="n"/>
      <c r="B31" s="12" t="n"/>
      <c r="C31" s="12" t="n"/>
      <c r="D31" s="12" t="n"/>
      <c r="E31" s="46" t="n"/>
      <c r="F31" s="12" t="n"/>
      <c r="I31" s="22" t="n">
        <v>13</v>
      </c>
      <c r="J31" s="22" t="inlineStr">
        <is>
          <t>11층</t>
        </is>
      </c>
      <c r="K31" s="22" t="inlineStr">
        <is>
          <t>사업관리본부</t>
        </is>
      </c>
      <c r="L31" s="22" t="inlineStr">
        <is>
          <t>사업관리1실</t>
        </is>
      </c>
      <c r="M31" s="22" t="inlineStr">
        <is>
          <t>조지은</t>
        </is>
      </c>
      <c r="N31" s="22" t="inlineStr">
        <is>
          <t>이사보</t>
        </is>
      </c>
    </row>
    <row r="32">
      <c r="A32" s="12" t="n"/>
      <c r="B32" s="12" t="n"/>
      <c r="C32" s="12" t="n"/>
      <c r="D32" s="12" t="n"/>
      <c r="E32" s="46" t="n"/>
      <c r="F32" s="12" t="n"/>
      <c r="I32" s="22" t="n">
        <v>14</v>
      </c>
      <c r="J32" s="22" t="inlineStr">
        <is>
          <t>11층</t>
        </is>
      </c>
      <c r="K32" s="22" t="inlineStr">
        <is>
          <t>사업관리본부</t>
        </is>
      </c>
      <c r="L32" s="22" t="inlineStr">
        <is>
          <t>사업관리1실</t>
        </is>
      </c>
      <c r="M32" s="22" t="inlineStr">
        <is>
          <t>이예솔</t>
        </is>
      </c>
      <c r="N32" s="22" t="inlineStr">
        <is>
          <t>과장</t>
        </is>
      </c>
    </row>
    <row r="33">
      <c r="A33" s="12" t="n"/>
      <c r="B33" s="12" t="n"/>
      <c r="C33" s="12" t="n"/>
      <c r="D33" s="12" t="n"/>
      <c r="E33" s="46" t="n"/>
      <c r="F33" s="12" t="n"/>
      <c r="I33" s="22" t="n">
        <v>15</v>
      </c>
      <c r="J33" s="22" t="inlineStr">
        <is>
          <t>11층</t>
        </is>
      </c>
      <c r="K33" s="22" t="inlineStr">
        <is>
          <t>사업관리본부</t>
        </is>
      </c>
      <c r="L33" s="22" t="inlineStr">
        <is>
          <t>사업관리1실</t>
        </is>
      </c>
      <c r="M33" s="22" t="inlineStr">
        <is>
          <t>류승호</t>
        </is>
      </c>
      <c r="N33" s="22" t="inlineStr">
        <is>
          <t>과장</t>
        </is>
      </c>
    </row>
    <row r="34">
      <c r="A34" s="12" t="n"/>
      <c r="B34" s="12" t="n"/>
      <c r="C34" s="12" t="n"/>
      <c r="D34" s="12" t="n"/>
      <c r="E34" s="46" t="n"/>
      <c r="F34" s="12" t="n"/>
      <c r="I34" s="22" t="n">
        <v>16</v>
      </c>
      <c r="J34" s="22" t="inlineStr">
        <is>
          <t>11층</t>
        </is>
      </c>
      <c r="K34" s="22" t="inlineStr">
        <is>
          <t>사업관리본부</t>
        </is>
      </c>
      <c r="L34" s="22" t="inlineStr">
        <is>
          <t>사업관리2실</t>
        </is>
      </c>
      <c r="M34" s="22" t="inlineStr">
        <is>
          <t>주현철</t>
        </is>
      </c>
      <c r="N34" s="22" t="inlineStr">
        <is>
          <t>상무</t>
        </is>
      </c>
    </row>
    <row r="35">
      <c r="A35" s="12" t="n"/>
      <c r="B35" s="12" t="n"/>
      <c r="C35" s="12" t="n"/>
      <c r="D35" s="12" t="n"/>
      <c r="E35" s="46" t="n"/>
      <c r="F35" s="12" t="n"/>
      <c r="I35" s="22" t="n">
        <v>17</v>
      </c>
      <c r="J35" s="22" t="inlineStr">
        <is>
          <t>11층</t>
        </is>
      </c>
      <c r="K35" s="22" t="inlineStr">
        <is>
          <t>사업관리본부</t>
        </is>
      </c>
      <c r="L35" s="22" t="inlineStr">
        <is>
          <t>사업관리2실</t>
        </is>
      </c>
      <c r="M35" s="22" t="inlineStr">
        <is>
          <t>이완구</t>
        </is>
      </c>
      <c r="N35" s="22" t="inlineStr">
        <is>
          <t>이사보</t>
        </is>
      </c>
    </row>
    <row r="36">
      <c r="A36" s="12" t="n"/>
      <c r="B36" s="12" t="n"/>
      <c r="C36" s="12" t="n"/>
      <c r="D36" s="12" t="n"/>
      <c r="E36" s="46" t="n"/>
      <c r="F36" s="12" t="n"/>
      <c r="I36" s="22" t="n">
        <v>18</v>
      </c>
      <c r="J36" s="22" t="inlineStr">
        <is>
          <t>11층</t>
        </is>
      </c>
      <c r="K36" s="22" t="inlineStr">
        <is>
          <t>사업관리본부</t>
        </is>
      </c>
      <c r="L36" s="22" t="inlineStr">
        <is>
          <t>사업관리2실</t>
        </is>
      </c>
      <c r="M36" s="22" t="inlineStr">
        <is>
          <t>황진욱</t>
        </is>
      </c>
      <c r="N36" s="22" t="inlineStr">
        <is>
          <t>대리</t>
        </is>
      </c>
    </row>
    <row r="37">
      <c r="A37" s="12" t="n"/>
      <c r="B37" s="12" t="n"/>
      <c r="C37" s="12" t="n"/>
      <c r="D37" s="12" t="n"/>
      <c r="E37" s="46" t="n"/>
      <c r="F37" s="12" t="n"/>
      <c r="I37" s="22" t="n">
        <v>19</v>
      </c>
      <c r="J37" s="22" t="inlineStr">
        <is>
          <t>11층</t>
        </is>
      </c>
      <c r="K37" s="22" t="inlineStr">
        <is>
          <t>사업관리본부</t>
        </is>
      </c>
      <c r="L37" s="22" t="inlineStr">
        <is>
          <t>사업관리2실</t>
        </is>
      </c>
      <c r="M37" s="22" t="inlineStr">
        <is>
          <t>문광정</t>
        </is>
      </c>
      <c r="N37" s="22" t="inlineStr">
        <is>
          <t>부장</t>
        </is>
      </c>
    </row>
    <row r="38">
      <c r="A38" s="12" t="n"/>
      <c r="B38" s="12" t="n"/>
      <c r="C38" s="12" t="n"/>
      <c r="D38" s="12" t="n"/>
      <c r="E38" s="46" t="n"/>
      <c r="F38" s="12" t="n"/>
      <c r="I38" s="22" t="n">
        <v>20</v>
      </c>
      <c r="J38" s="22" t="inlineStr">
        <is>
          <t>11층</t>
        </is>
      </c>
      <c r="K38" s="22" t="inlineStr">
        <is>
          <t>사업관리본부</t>
        </is>
      </c>
      <c r="L38" s="22" t="inlineStr">
        <is>
          <t>사업관리2실</t>
        </is>
      </c>
      <c r="M38" s="22" t="inlineStr">
        <is>
          <t>정연석</t>
        </is>
      </c>
      <c r="N38" s="22" t="inlineStr">
        <is>
          <t>대리</t>
        </is>
      </c>
    </row>
    <row r="39">
      <c r="A39" s="12" t="n"/>
      <c r="B39" s="12" t="n"/>
      <c r="C39" s="12" t="n"/>
      <c r="D39" s="12" t="n"/>
      <c r="E39" s="46" t="n"/>
      <c r="F39" s="12" t="n"/>
      <c r="I39" s="22" t="n">
        <v>21</v>
      </c>
      <c r="J39" s="22" t="inlineStr">
        <is>
          <t>11층</t>
        </is>
      </c>
      <c r="K39" s="22" t="inlineStr">
        <is>
          <t>사업관리본부</t>
        </is>
      </c>
      <c r="L39" s="22" t="inlineStr">
        <is>
          <t>사업관리2실</t>
        </is>
      </c>
      <c r="M39" s="22" t="inlineStr">
        <is>
          <t>김진규</t>
        </is>
      </c>
      <c r="N39" s="22" t="inlineStr">
        <is>
          <t>대리</t>
        </is>
      </c>
    </row>
    <row r="40" ht="17.25" customHeight="1" s="53" thickBot="1">
      <c r="A40" s="12" t="n"/>
      <c r="B40" s="12" t="n"/>
      <c r="C40" s="11" t="n"/>
      <c r="D40" s="12" t="n"/>
      <c r="E40" s="12" t="n"/>
      <c r="F40" s="12" t="n"/>
      <c r="I40" s="22" t="n">
        <v>22</v>
      </c>
      <c r="J40" s="22" t="inlineStr">
        <is>
          <t>11층</t>
        </is>
      </c>
      <c r="K40" s="22" t="inlineStr">
        <is>
          <t>사업관리본부</t>
        </is>
      </c>
      <c r="L40" s="22" t="inlineStr">
        <is>
          <t>사업관리2실</t>
        </is>
      </c>
      <c r="M40" s="22" t="inlineStr">
        <is>
          <t>연지현</t>
        </is>
      </c>
      <c r="N40" s="22" t="inlineStr">
        <is>
          <t>주임</t>
        </is>
      </c>
    </row>
    <row r="41" ht="17.25" customHeight="1" s="53" thickTop="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  <c r="K50" s="0" t="n"/>
      <c r="L50" s="0" t="n"/>
    </row>
    <row r="51">
      <c r="A51" s="12" t="n"/>
      <c r="B51" s="12" t="n"/>
      <c r="C51" s="12" t="n"/>
      <c r="D51" s="12" t="n"/>
      <c r="E51" s="12" t="n"/>
      <c r="F51" s="12" t="n"/>
      <c r="K51" s="0" t="n"/>
      <c r="L51" s="0" t="n"/>
    </row>
    <row r="52">
      <c r="A52" s="12" t="n"/>
      <c r="B52" s="12" t="n"/>
      <c r="C52" s="12" t="n"/>
      <c r="D52" s="12" t="n"/>
      <c r="E52" s="12" t="n"/>
      <c r="F52" s="12" t="n"/>
      <c r="K52" s="0" t="n"/>
      <c r="L52" s="0" t="n"/>
    </row>
    <row r="53">
      <c r="A53" s="12" t="n"/>
      <c r="B53" s="12" t="n"/>
      <c r="C53" s="12" t="n"/>
      <c r="D53" s="12" t="n"/>
      <c r="E53" s="12" t="n"/>
      <c r="F53" s="12" t="n"/>
      <c r="K53" s="0" t="n"/>
      <c r="L53" s="0" t="n"/>
    </row>
    <row r="54">
      <c r="A54" s="12" t="n"/>
      <c r="B54" s="12" t="n"/>
      <c r="C54" s="12" t="n"/>
      <c r="D54" s="12" t="n"/>
      <c r="E54" s="12" t="n"/>
      <c r="F54" s="12" t="n"/>
      <c r="K54" s="0" t="n"/>
      <c r="L54" s="0" t="n"/>
    </row>
    <row r="55">
      <c r="A55" s="12" t="n"/>
      <c r="B55" s="12" t="n"/>
      <c r="C55" s="12" t="n"/>
      <c r="D55" s="12" t="n"/>
      <c r="E55" s="12" t="n"/>
      <c r="F55" s="12" t="n"/>
      <c r="K55" s="0" t="n"/>
      <c r="L55" s="0" t="n"/>
    </row>
    <row r="56">
      <c r="A56" s="12" t="n"/>
      <c r="B56" s="12" t="n"/>
      <c r="C56" s="12" t="n"/>
      <c r="D56" s="12" t="n"/>
      <c r="E56" s="12" t="n"/>
      <c r="F56" s="12" t="n"/>
      <c r="K56" s="0" t="n"/>
      <c r="L56" s="0" t="n"/>
    </row>
    <row r="57">
      <c r="A57" s="12" t="n"/>
      <c r="B57" s="12" t="n"/>
      <c r="C57" s="12" t="n"/>
      <c r="D57" s="12" t="n"/>
      <c r="E57" s="12" t="n"/>
      <c r="F57" s="12" t="n"/>
      <c r="K57" s="0" t="n"/>
      <c r="L57" s="0" t="n"/>
    </row>
    <row r="58">
      <c r="A58" s="12" t="n"/>
      <c r="B58" s="12" t="n"/>
      <c r="C58" s="12" t="n"/>
      <c r="D58" s="12" t="n"/>
      <c r="E58" s="12" t="n"/>
      <c r="F58" s="12" t="n"/>
      <c r="K58" s="0" t="n"/>
      <c r="L58" s="0" t="n"/>
    </row>
    <row r="59">
      <c r="A59" s="12" t="n"/>
      <c r="B59" s="12" t="n"/>
      <c r="C59" s="12" t="n"/>
      <c r="D59" s="12" t="n"/>
      <c r="E59" s="46" t="n"/>
      <c r="F59" s="12" t="n"/>
      <c r="K59" s="0" t="n"/>
      <c r="L59" s="0" t="n"/>
    </row>
    <row r="60">
      <c r="A60" s="12" t="n"/>
      <c r="B60" s="12" t="n"/>
      <c r="C60" s="12" t="n"/>
      <c r="D60" s="12" t="n"/>
      <c r="E60" s="46" t="n"/>
      <c r="F60" s="12" t="n"/>
      <c r="K60" s="0" t="n"/>
      <c r="L60" s="0" t="n"/>
    </row>
    <row r="61">
      <c r="A61" s="12" t="n"/>
      <c r="B61" s="12" t="n"/>
      <c r="C61" s="12" t="n"/>
      <c r="D61" s="12" t="n"/>
      <c r="E61" s="46" t="n"/>
      <c r="F61" s="12" t="n"/>
      <c r="K61" s="0" t="n"/>
      <c r="L61" s="0" t="n"/>
    </row>
    <row r="62">
      <c r="A62" s="12" t="n"/>
      <c r="B62" s="12" t="n"/>
      <c r="C62" s="12" t="n"/>
      <c r="D62" s="12" t="n"/>
      <c r="E62" s="46" t="n"/>
      <c r="F62" s="12" t="n"/>
      <c r="K62" s="0" t="n"/>
      <c r="L62" s="0" t="n"/>
    </row>
    <row r="63">
      <c r="A63" s="12" t="n"/>
      <c r="B63" s="12" t="n"/>
      <c r="C63" s="12" t="n"/>
      <c r="D63" s="12" t="n"/>
      <c r="E63" s="12" t="n"/>
      <c r="F63" s="12" t="n"/>
      <c r="K63" s="0" t="n"/>
      <c r="L63" s="0" t="n"/>
    </row>
    <row r="64">
      <c r="A64" s="12" t="n"/>
      <c r="B64" s="12" t="n"/>
      <c r="C64" s="12" t="n"/>
      <c r="D64" s="12" t="n"/>
      <c r="E64" s="12" t="n"/>
      <c r="F64" s="12" t="n"/>
      <c r="K64" s="0" t="n"/>
      <c r="L64" s="0" t="n"/>
    </row>
    <row r="65">
      <c r="A65" s="12" t="n"/>
      <c r="B65" s="12" t="n"/>
      <c r="C65" s="12" t="n"/>
      <c r="D65" s="12" t="n"/>
      <c r="E65" s="12" t="n"/>
      <c r="F65" s="12" t="n"/>
      <c r="K65" s="0" t="n"/>
      <c r="L65" s="0" t="n"/>
    </row>
    <row r="66">
      <c r="A66" s="12" t="n"/>
      <c r="B66" s="12" t="n"/>
      <c r="C66" s="12" t="n"/>
      <c r="D66" s="12" t="n"/>
      <c r="E66" s="12" t="n"/>
      <c r="F66" s="12" t="n"/>
      <c r="K66" s="0" t="n"/>
      <c r="L66" s="0" t="n"/>
    </row>
    <row r="67">
      <c r="A67" s="12" t="n"/>
      <c r="B67" s="12" t="n"/>
      <c r="C67" s="12" t="n"/>
      <c r="D67" s="12" t="n"/>
      <c r="E67" s="12" t="n"/>
      <c r="F67" s="12" t="n"/>
      <c r="K67" s="0" t="n"/>
      <c r="L67" s="0" t="n"/>
    </row>
    <row r="68">
      <c r="K68" s="0" t="n"/>
      <c r="L68" s="0" t="n"/>
    </row>
  </sheetData>
  <mergeCells count="3">
    <mergeCell ref="A17:C17"/>
    <mergeCell ref="A8:C8"/>
    <mergeCell ref="A2:C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8"/>
  <sheetViews>
    <sheetView tabSelected="1" zoomScaleNormal="100" workbookViewId="0">
      <selection activeCell="G7" sqref="G7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492505+13290-6</f>
        <v/>
      </c>
      <c r="E2" s="79" t="n">
        <v>49251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조승제</t>
        </is>
      </c>
      <c r="N5" s="17" t="inlineStr">
        <is>
          <t>부장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이재영</t>
        </is>
      </c>
      <c r="N6" s="17" t="inlineStr">
        <is>
          <t>과장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</f>
        <v/>
      </c>
      <c r="E7" s="75">
        <f>ROUND($E$2/$C$8*C7,0)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강지혜</t>
        </is>
      </c>
      <c r="N7" s="17" t="inlineStr">
        <is>
          <t>대리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이경태</t>
        </is>
      </c>
      <c r="N8" s="17" t="inlineStr">
        <is>
          <t>차장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최경천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408575+11030-3</f>
        <v/>
      </c>
      <c r="E10" s="79" t="n">
        <v>40858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이재선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이황</t>
        </is>
      </c>
      <c r="N11" s="17" t="inlineStr">
        <is>
          <t>과장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37" t="n">
        <v>11</v>
      </c>
      <c r="J12" s="37" t="inlineStr">
        <is>
          <t>13층</t>
        </is>
      </c>
      <c r="K12" s="38" t="n"/>
      <c r="L12" s="37" t="inlineStr">
        <is>
          <t>경영기획실</t>
        </is>
      </c>
      <c r="M12" s="37" t="inlineStr">
        <is>
          <t>강소영</t>
        </is>
      </c>
      <c r="N12" s="37" t="inlineStr">
        <is>
          <t>주임</t>
        </is>
      </c>
    </row>
    <row r="13" ht="17.25" customHeight="1" s="53">
      <c r="A13" s="80" t="inlineStr">
        <is>
          <t>신사업개발실</t>
        </is>
      </c>
      <c r="B13" s="83" t="inlineStr">
        <is>
          <t>판관</t>
        </is>
      </c>
      <c r="C13" s="74">
        <f>COUNTIF(L:L,"신사업개발실")</f>
        <v/>
      </c>
      <c r="D13" s="75">
        <f>ROUND($D$10/$C$18*C13,0)+1</f>
        <v/>
      </c>
      <c r="E13" s="75">
        <f>ROUND($E$10/$C$18*C13,0)+1</f>
        <v/>
      </c>
      <c r="F13" s="76">
        <f>D13+E13</f>
        <v/>
      </c>
      <c r="I13" s="22" t="n">
        <v>1</v>
      </c>
      <c r="J13" s="36" t="inlineStr">
        <is>
          <t>6층</t>
        </is>
      </c>
      <c r="K13" s="36" t="inlineStr">
        <is>
          <t>설계본부</t>
        </is>
      </c>
      <c r="L13" s="36" t="inlineStr">
        <is>
          <t>설계본부</t>
        </is>
      </c>
      <c r="M13" s="36" t="inlineStr">
        <is>
          <t>오진택</t>
        </is>
      </c>
      <c r="N13" s="36" t="inlineStr">
        <is>
          <t>전무</t>
        </is>
      </c>
    </row>
    <row r="14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ROUND($D$10/$C$18*C14,0)</f>
        <v/>
      </c>
      <c r="E14" s="75">
        <f>ROUND($E$10/$C$18*C14,0)</f>
        <v/>
      </c>
      <c r="F14" s="76">
        <f>D14+E14</f>
        <v/>
      </c>
      <c r="I14" s="17" t="n">
        <v>2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설계1실</t>
        </is>
      </c>
      <c r="M14" s="17" t="inlineStr">
        <is>
          <t>최우제</t>
        </is>
      </c>
      <c r="N14" s="17" t="inlineStr">
        <is>
          <t>상무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ROUND($D$10/$C$18*C15,0)</f>
        <v/>
      </c>
      <c r="E15" s="75">
        <f>ROUND($E$10/$C$18*C15,0)</f>
        <v/>
      </c>
      <c r="F15" s="76">
        <f>D15+E15</f>
        <v/>
      </c>
      <c r="I15" s="22" t="n">
        <v>3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김채영</t>
        </is>
      </c>
      <c r="N15" s="17" t="inlineStr">
        <is>
          <t>이사</t>
        </is>
      </c>
    </row>
    <row r="16">
      <c r="A16" s="80" t="inlineStr">
        <is>
          <t>주거사업실</t>
        </is>
      </c>
      <c r="B16" s="83" t="inlineStr">
        <is>
          <t>판관</t>
        </is>
      </c>
      <c r="C16" s="74">
        <f>COUNTIF(L:L,"주거사업실")</f>
        <v/>
      </c>
      <c r="D16" s="75">
        <f>ROUND($D$10/$C$18*C16,0)</f>
        <v/>
      </c>
      <c r="E16" s="75">
        <f>ROUND($E$10/$C$18*C16,0)</f>
        <v/>
      </c>
      <c r="F16" s="76">
        <f>D16+E16</f>
        <v/>
      </c>
      <c r="I16" s="17" t="n">
        <v>4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김태은</t>
        </is>
      </c>
      <c r="N16" s="17" t="inlineStr">
        <is>
          <t>과장</t>
        </is>
      </c>
    </row>
    <row r="17" ht="17.25" customHeight="1" s="53" thickBot="1">
      <c r="A17" s="80" t="inlineStr">
        <is>
          <t>사업관리본부</t>
        </is>
      </c>
      <c r="B17" s="83" t="inlineStr">
        <is>
          <t>판관</t>
        </is>
      </c>
      <c r="C17" s="74">
        <f>COUNTIF(L:L,"사업관리본부")</f>
        <v/>
      </c>
      <c r="D17" s="75">
        <f>ROUND($D$10/$C$18*C17,0)</f>
        <v/>
      </c>
      <c r="E17" s="75">
        <f>ROUND($E$10/$C$18*C17,0)</f>
        <v/>
      </c>
      <c r="F17" s="76">
        <f>D17+E17</f>
        <v/>
      </c>
      <c r="I17" s="17" t="n">
        <v>5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김민호</t>
        </is>
      </c>
      <c r="N17" s="17" t="inlineStr">
        <is>
          <t>대리</t>
        </is>
      </c>
    </row>
    <row r="18" ht="17.25" customHeight="1" s="53" thickBot="1">
      <c r="A18" s="68" t="inlineStr">
        <is>
          <t>총합</t>
        </is>
      </c>
      <c r="B18" s="69" t="n"/>
      <c r="C18" s="70">
        <f>SUM(C13:C17)</f>
        <v/>
      </c>
      <c r="D18" s="77">
        <f>SUM(D13:D17)</f>
        <v/>
      </c>
      <c r="E18" s="77">
        <f>SUM(E13:E17)</f>
        <v/>
      </c>
      <c r="F18" s="78">
        <f>SUM(F13:F17)</f>
        <v/>
      </c>
      <c r="I18" s="22" t="n">
        <v>6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 ht="17.25" customHeight="1" s="53" thickBot="1">
      <c r="I19" s="17" t="n">
        <v>7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최수용</t>
        </is>
      </c>
      <c r="N19" s="17" t="inlineStr">
        <is>
          <t>사원</t>
        </is>
      </c>
    </row>
    <row r="20" ht="17.25" customHeight="1" s="53" thickBot="1">
      <c r="A20" s="64" t="inlineStr">
        <is>
          <t>전기료 총액(13층)</t>
        </is>
      </c>
      <c r="B20" s="55" t="n"/>
      <c r="C20" s="56" t="n"/>
      <c r="D20" s="79">
        <f>453106+12230-7</f>
        <v/>
      </c>
      <c r="E20" s="79" t="n">
        <v>45311</v>
      </c>
      <c r="F20" s="66">
        <f>D20+E20</f>
        <v/>
      </c>
      <c r="I20" s="22" t="n">
        <v>8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조지은</t>
        </is>
      </c>
      <c r="N20" s="17" t="inlineStr">
        <is>
          <t>이사</t>
        </is>
      </c>
    </row>
    <row r="21" ht="17.25" customHeight="1" s="53" thickBot="1">
      <c r="I21" s="17" t="n">
        <v>9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 thickBot="1">
      <c r="A22" s="68" t="inlineStr">
        <is>
          <t>부서</t>
        </is>
      </c>
      <c r="B22" s="69" t="inlineStr">
        <is>
          <t>계정</t>
        </is>
      </c>
      <c r="C22" s="70" t="inlineStr">
        <is>
          <t>인원</t>
        </is>
      </c>
      <c r="D22" s="28" t="inlineStr">
        <is>
          <t>공급가</t>
        </is>
      </c>
      <c r="E22" s="71" t="inlineStr">
        <is>
          <t>부가세</t>
        </is>
      </c>
      <c r="F22" s="30" t="inlineStr">
        <is>
          <t>합계</t>
        </is>
      </c>
      <c r="I22" s="22" t="n">
        <v>10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류승호</t>
        </is>
      </c>
      <c r="N22" s="17" t="inlineStr">
        <is>
          <t>과장</t>
        </is>
      </c>
    </row>
    <row r="23" ht="17.25" customHeight="1" s="53">
      <c r="A23" s="72" t="inlineStr">
        <is>
          <t>경영기획실</t>
        </is>
      </c>
      <c r="B23" s="83" t="inlineStr">
        <is>
          <t>판관</t>
        </is>
      </c>
      <c r="C23" s="74">
        <f>COUNTIF(L:L,"경영기획실")</f>
        <v/>
      </c>
      <c r="D23" s="75">
        <f>ROUND($D$20/$C$26*C23,0)-1</f>
        <v/>
      </c>
      <c r="E23" s="75">
        <f>ROUND($E$20/$C$26*C23,0)</f>
        <v/>
      </c>
      <c r="F23" s="76">
        <f>D23+E23</f>
        <v/>
      </c>
      <c r="I23" s="17" t="n">
        <v>11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최수지</t>
        </is>
      </c>
      <c r="N23" s="17" t="inlineStr">
        <is>
          <t>과장</t>
        </is>
      </c>
    </row>
    <row r="24">
      <c r="A24" s="80" t="inlineStr">
        <is>
          <t>감사역</t>
        </is>
      </c>
      <c r="B24" s="83" t="inlineStr">
        <is>
          <t>판관</t>
        </is>
      </c>
      <c r="C24" s="74">
        <f>COUNTIF(L:L,"감사역")</f>
        <v/>
      </c>
      <c r="D24" s="75">
        <f>ROUND($D$20/$C$26*C24,0)</f>
        <v/>
      </c>
      <c r="E24" s="75">
        <f>ROUND($E$20/$C$26*C24,0)</f>
        <v/>
      </c>
      <c r="F24" s="76">
        <f>D24+E24</f>
        <v/>
      </c>
      <c r="I24" s="22" t="n">
        <v>12</v>
      </c>
      <c r="J24" s="17" t="inlineStr">
        <is>
          <t>6층</t>
        </is>
      </c>
      <c r="K24" s="20" t="inlineStr">
        <is>
          <t>설계본부</t>
        </is>
      </c>
      <c r="L24" s="17" t="inlineStr">
        <is>
          <t>설계2실</t>
        </is>
      </c>
      <c r="M24" s="17" t="inlineStr">
        <is>
          <t>황진욱</t>
        </is>
      </c>
      <c r="N24" s="17" t="inlineStr">
        <is>
          <t>대리</t>
        </is>
      </c>
    </row>
    <row r="25" ht="17.25" customHeight="1" s="53" thickBot="1">
      <c r="A25" s="80" t="inlineStr">
        <is>
          <t>R&amp;D본부</t>
        </is>
      </c>
      <c r="B25" s="73" t="inlineStr">
        <is>
          <t>연구</t>
        </is>
      </c>
      <c r="C25" s="74">
        <f>COUNTIF(L:L,"R&amp;D본부")</f>
        <v/>
      </c>
      <c r="D25" s="75">
        <f>ROUND($D$20/$C$26*C25,0)</f>
        <v/>
      </c>
      <c r="E25" s="75">
        <f>ROUND($E$20/$C$26*C25,0)</f>
        <v/>
      </c>
      <c r="F25" s="76">
        <f>D25+E25</f>
        <v/>
      </c>
      <c r="I25" s="37" t="n">
        <v>13</v>
      </c>
      <c r="J25" s="37" t="inlineStr">
        <is>
          <t>6층</t>
        </is>
      </c>
      <c r="K25" s="37" t="inlineStr">
        <is>
          <t>설계본부</t>
        </is>
      </c>
      <c r="L25" s="37" t="inlineStr">
        <is>
          <t>설계2실</t>
        </is>
      </c>
      <c r="M25" s="37" t="inlineStr">
        <is>
          <t>오한솔</t>
        </is>
      </c>
      <c r="N25" s="37" t="inlineStr">
        <is>
          <t>주임</t>
        </is>
      </c>
    </row>
    <row r="26" ht="17.25" customHeight="1" s="53" thickBot="1" thickTop="1">
      <c r="A26" s="68" t="inlineStr">
        <is>
          <t>총합</t>
        </is>
      </c>
      <c r="B26" s="69" t="n"/>
      <c r="C26" s="70">
        <f>SUM(C23:C25)</f>
        <v/>
      </c>
      <c r="D26" s="77">
        <f>SUM(D23:D25)</f>
        <v/>
      </c>
      <c r="E26" s="84">
        <f>SUM(E23:E25)</f>
        <v/>
      </c>
      <c r="F26" s="78">
        <f>SUM(F23:F25)</f>
        <v/>
      </c>
      <c r="I26" s="22" t="n">
        <v>1</v>
      </c>
      <c r="J26" s="22" t="inlineStr">
        <is>
          <t>11층</t>
        </is>
      </c>
      <c r="K26" s="39" t="inlineStr">
        <is>
          <t>설계본부</t>
        </is>
      </c>
      <c r="L26" s="22" t="inlineStr">
        <is>
          <t>신사업개발실</t>
        </is>
      </c>
      <c r="M26" s="22" t="inlineStr">
        <is>
          <t>최진달미</t>
        </is>
      </c>
      <c r="N26" s="22" t="inlineStr">
        <is>
          <t>전무</t>
        </is>
      </c>
    </row>
    <row r="27" ht="18" customHeight="1" s="53">
      <c r="E27" s="0" t="n"/>
      <c r="I27" s="17" t="n">
        <v>2</v>
      </c>
      <c r="J27" s="17" t="inlineStr">
        <is>
          <t>11층</t>
        </is>
      </c>
      <c r="K27" s="20" t="inlineStr">
        <is>
          <t>설계본부</t>
        </is>
      </c>
      <c r="L27" s="17" t="inlineStr">
        <is>
          <t>신사업개발실</t>
        </is>
      </c>
      <c r="M27" s="17" t="inlineStr">
        <is>
          <t>박종철</t>
        </is>
      </c>
      <c r="N27" s="17" t="inlineStr">
        <is>
          <t>이사</t>
        </is>
      </c>
    </row>
    <row r="28">
      <c r="I28" s="22" t="n">
        <v>3</v>
      </c>
      <c r="J28" s="17" t="inlineStr">
        <is>
          <t>11층</t>
        </is>
      </c>
      <c r="K28" s="17" t="inlineStr">
        <is>
          <t>설계본부</t>
        </is>
      </c>
      <c r="L28" s="17" t="inlineStr">
        <is>
          <t>신사업개발실</t>
        </is>
      </c>
      <c r="M28" s="17" t="inlineStr">
        <is>
          <t>이정진</t>
        </is>
      </c>
      <c r="N28" s="17" t="inlineStr">
        <is>
          <t>부장</t>
        </is>
      </c>
    </row>
    <row r="29">
      <c r="I29" s="17" t="n">
        <v>4</v>
      </c>
      <c r="J29" s="22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22" t="inlineStr">
        <is>
          <t>김순성</t>
        </is>
      </c>
      <c r="N29" s="22" t="inlineStr">
        <is>
          <t>고문</t>
        </is>
      </c>
    </row>
    <row r="30">
      <c r="A30" s="47" t="n"/>
      <c r="B30" s="47" t="n"/>
      <c r="C30" s="47" t="n"/>
      <c r="D30" s="47" t="n"/>
      <c r="E30" s="47" t="n"/>
      <c r="F30" s="47" t="n"/>
      <c r="I30" s="22" t="n">
        <v>5</v>
      </c>
      <c r="J30" s="36" t="inlineStr">
        <is>
          <t>11층</t>
        </is>
      </c>
      <c r="K30" s="36" t="inlineStr">
        <is>
          <t>사업관리본부</t>
        </is>
      </c>
      <c r="L30" s="36" t="inlineStr">
        <is>
          <t>사업관리본부</t>
        </is>
      </c>
      <c r="M30" s="36" t="inlineStr">
        <is>
          <t>김동우</t>
        </is>
      </c>
      <c r="N30" s="36" t="inlineStr">
        <is>
          <t>전무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6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이성규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7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이강호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8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김동규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9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이완구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10</v>
      </c>
      <c r="J35" s="17" t="inlineStr">
        <is>
          <t>11층</t>
        </is>
      </c>
      <c r="K35" s="17" t="inlineStr">
        <is>
          <t>사업관리본부</t>
        </is>
      </c>
      <c r="L35" s="59" t="inlineStr">
        <is>
          <t>주거사업실</t>
        </is>
      </c>
      <c r="M35" s="60" t="inlineStr">
        <is>
          <t>김승현</t>
        </is>
      </c>
      <c r="N35" s="59" t="inlineStr">
        <is>
          <t>상무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11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주현철</t>
        </is>
      </c>
      <c r="N36" s="17" t="inlineStr">
        <is>
          <t>상무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12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문광정</t>
        </is>
      </c>
      <c r="N37" s="17" t="inlineStr">
        <is>
          <t>부장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13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정연석</t>
        </is>
      </c>
      <c r="N38" s="17" t="inlineStr">
        <is>
          <t>대리</t>
        </is>
      </c>
    </row>
    <row r="39">
      <c r="A39" s="12" t="n"/>
      <c r="B39" s="12" t="n"/>
      <c r="C39" s="12" t="n"/>
      <c r="D39" s="12" t="n"/>
      <c r="E39" s="12" t="n"/>
      <c r="F39" s="12" t="n"/>
      <c r="I39" s="17" t="n">
        <v>14</v>
      </c>
      <c r="J39" s="17" t="inlineStr">
        <is>
          <t>11층</t>
        </is>
      </c>
      <c r="K39" s="17" t="inlineStr">
        <is>
          <t>사업관리본부</t>
        </is>
      </c>
      <c r="L39" s="17" t="inlineStr">
        <is>
          <t>영업관리실</t>
        </is>
      </c>
      <c r="M39" s="17" t="inlineStr">
        <is>
          <t>김진규</t>
        </is>
      </c>
      <c r="N39" s="17" t="inlineStr">
        <is>
          <t>대리</t>
        </is>
      </c>
    </row>
    <row r="40" ht="17.25" customHeight="1" s="53" thickBot="1">
      <c r="A40" s="12" t="n"/>
      <c r="B40" s="12" t="n"/>
      <c r="C40" s="11" t="n"/>
      <c r="D40" s="12" t="n"/>
      <c r="E40" s="12" t="n"/>
      <c r="F40" s="12" t="n"/>
      <c r="I40" s="37" t="n">
        <v>15</v>
      </c>
      <c r="J40" s="37" t="inlineStr">
        <is>
          <t>11층</t>
        </is>
      </c>
      <c r="K40" s="37" t="inlineStr">
        <is>
          <t>사업관리본부</t>
        </is>
      </c>
      <c r="L40" s="37" t="inlineStr">
        <is>
          <t>영업관리실</t>
        </is>
      </c>
      <c r="M40" s="37" t="inlineStr">
        <is>
          <t>연지현</t>
        </is>
      </c>
      <c r="N40" s="37" t="inlineStr">
        <is>
          <t>주임</t>
        </is>
      </c>
    </row>
    <row r="41" ht="17.25" customHeight="1" s="53" thickTop="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  <c r="K50" s="0" t="n"/>
      <c r="L50" s="0" t="n"/>
    </row>
    <row r="51">
      <c r="A51" s="12" t="n"/>
      <c r="B51" s="12" t="n"/>
      <c r="C51" s="12" t="n"/>
      <c r="D51" s="12" t="n"/>
      <c r="E51" s="12" t="n"/>
      <c r="F51" s="12" t="n"/>
      <c r="K51" s="0" t="n"/>
      <c r="L51" s="0" t="n"/>
    </row>
    <row r="52">
      <c r="A52" s="12" t="n"/>
      <c r="B52" s="12" t="n"/>
      <c r="C52" s="12" t="n"/>
      <c r="D52" s="12" t="n"/>
      <c r="E52" s="12" t="n"/>
      <c r="F52" s="12" t="n"/>
      <c r="K52" s="0" t="n"/>
      <c r="L52" s="0" t="n"/>
    </row>
    <row r="53">
      <c r="A53" s="12" t="n"/>
      <c r="B53" s="12" t="n"/>
      <c r="C53" s="12" t="n"/>
      <c r="D53" s="12" t="n"/>
      <c r="E53" s="12" t="n"/>
      <c r="F53" s="12" t="n"/>
      <c r="K53" s="0" t="n"/>
      <c r="L53" s="0" t="n"/>
    </row>
    <row r="54">
      <c r="A54" s="12" t="n"/>
      <c r="B54" s="12" t="n"/>
      <c r="C54" s="12" t="n"/>
      <c r="D54" s="12" t="n"/>
      <c r="E54" s="12" t="n"/>
      <c r="F54" s="12" t="n"/>
      <c r="K54" s="0" t="n"/>
      <c r="L54" s="0" t="n"/>
    </row>
    <row r="55">
      <c r="A55" s="12" t="n"/>
      <c r="B55" s="12" t="n"/>
      <c r="C55" s="12" t="n"/>
      <c r="D55" s="12" t="n"/>
      <c r="E55" s="12" t="n"/>
      <c r="F55" s="12" t="n"/>
      <c r="K55" s="0" t="n"/>
      <c r="L55" s="0" t="n"/>
    </row>
    <row r="56">
      <c r="A56" s="12" t="n"/>
      <c r="B56" s="12" t="n"/>
      <c r="C56" s="12" t="n"/>
      <c r="D56" s="12" t="n"/>
      <c r="E56" s="12" t="n"/>
      <c r="F56" s="12" t="n"/>
      <c r="K56" s="0" t="n"/>
      <c r="L56" s="0" t="n"/>
    </row>
    <row r="57">
      <c r="A57" s="12" t="n"/>
      <c r="B57" s="12" t="n"/>
      <c r="C57" s="12" t="n"/>
      <c r="D57" s="12" t="n"/>
      <c r="E57" s="12" t="n"/>
      <c r="F57" s="12" t="n"/>
      <c r="K57" s="0" t="n"/>
      <c r="L57" s="0" t="n"/>
    </row>
    <row r="58">
      <c r="A58" s="12" t="n"/>
      <c r="B58" s="12" t="n"/>
      <c r="C58" s="12" t="n"/>
      <c r="D58" s="12" t="n"/>
      <c r="E58" s="12" t="n"/>
      <c r="F58" s="12" t="n"/>
      <c r="K58" s="0" t="n"/>
      <c r="L58" s="0" t="n"/>
    </row>
    <row r="59">
      <c r="A59" s="12" t="n"/>
      <c r="B59" s="12" t="n"/>
      <c r="C59" s="12" t="n"/>
      <c r="D59" s="12" t="n"/>
      <c r="E59" s="46" t="n"/>
      <c r="F59" s="12" t="n"/>
      <c r="K59" s="0" t="n"/>
      <c r="L59" s="0" t="n"/>
    </row>
    <row r="60">
      <c r="A60" s="12" t="n"/>
      <c r="B60" s="12" t="n"/>
      <c r="C60" s="12" t="n"/>
      <c r="D60" s="12" t="n"/>
      <c r="E60" s="46" t="n"/>
      <c r="F60" s="12" t="n"/>
      <c r="K60" s="0" t="n"/>
      <c r="L60" s="0" t="n"/>
    </row>
    <row r="61">
      <c r="A61" s="12" t="n"/>
      <c r="B61" s="12" t="n"/>
      <c r="C61" s="12" t="n"/>
      <c r="D61" s="12" t="n"/>
      <c r="E61" s="46" t="n"/>
      <c r="F61" s="12" t="n"/>
      <c r="K61" s="0" t="n"/>
      <c r="L61" s="0" t="n"/>
    </row>
    <row r="62">
      <c r="A62" s="12" t="n"/>
      <c r="B62" s="12" t="n"/>
      <c r="C62" s="12" t="n"/>
      <c r="D62" s="12" t="n"/>
      <c r="E62" s="46" t="n"/>
      <c r="F62" s="12" t="n"/>
      <c r="K62" s="0" t="n"/>
      <c r="L62" s="0" t="n"/>
    </row>
    <row r="63">
      <c r="A63" s="12" t="n"/>
      <c r="B63" s="12" t="n"/>
      <c r="C63" s="12" t="n"/>
      <c r="D63" s="12" t="n"/>
      <c r="E63" s="12" t="n"/>
      <c r="F63" s="12" t="n"/>
      <c r="K63" s="0" t="n"/>
      <c r="L63" s="0" t="n"/>
    </row>
    <row r="64">
      <c r="A64" s="12" t="n"/>
      <c r="B64" s="12" t="n"/>
      <c r="C64" s="12" t="n"/>
      <c r="D64" s="12" t="n"/>
      <c r="E64" s="12" t="n"/>
      <c r="F64" s="12" t="n"/>
      <c r="K64" s="0" t="n"/>
      <c r="L64" s="0" t="n"/>
    </row>
    <row r="65">
      <c r="A65" s="12" t="n"/>
      <c r="B65" s="12" t="n"/>
      <c r="C65" s="12" t="n"/>
      <c r="D65" s="12" t="n"/>
      <c r="E65" s="12" t="n"/>
      <c r="F65" s="12" t="n"/>
      <c r="K65" s="0" t="n"/>
      <c r="L65" s="0" t="n"/>
    </row>
    <row r="66">
      <c r="A66" s="12" t="n"/>
      <c r="B66" s="12" t="n"/>
      <c r="C66" s="12" t="n"/>
      <c r="D66" s="12" t="n"/>
      <c r="E66" s="12" t="n"/>
      <c r="F66" s="12" t="n"/>
      <c r="K66" s="0" t="n"/>
      <c r="L66" s="0" t="n"/>
    </row>
    <row r="67">
      <c r="A67" s="12" t="n"/>
      <c r="B67" s="12" t="n"/>
      <c r="C67" s="12" t="n"/>
      <c r="D67" s="12" t="n"/>
      <c r="E67" s="12" t="n"/>
      <c r="F67" s="12" t="n"/>
      <c r="K67" s="0" t="n"/>
      <c r="L67" s="0" t="n"/>
    </row>
    <row r="68">
      <c r="K68" s="0" t="n"/>
      <c r="L68" s="0" t="n"/>
    </row>
  </sheetData>
  <autoFilter ref="A4:F8"/>
  <mergeCells count="3">
    <mergeCell ref="A10:C10"/>
    <mergeCell ref="A20:C20"/>
    <mergeCell ref="A2:C2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7"/>
  <sheetViews>
    <sheetView zoomScaleNormal="100" workbookViewId="0">
      <selection activeCell="H20" sqref="H20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543246+14660-1</f>
        <v/>
      </c>
      <c r="E2" s="79" t="n">
        <v>54325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조승제</t>
        </is>
      </c>
      <c r="N5" s="17" t="inlineStr">
        <is>
          <t>부장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이재영</t>
        </is>
      </c>
      <c r="N6" s="17" t="inlineStr">
        <is>
          <t>과장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강지혜</t>
        </is>
      </c>
      <c r="N7" s="17" t="inlineStr">
        <is>
          <t>대리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이경태</t>
        </is>
      </c>
      <c r="N8" s="17" t="inlineStr">
        <is>
          <t>차장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최경천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468194+12640-3</f>
        <v/>
      </c>
      <c r="E10" s="79" t="n">
        <v>46819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이재선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이황</t>
        </is>
      </c>
      <c r="N11" s="17" t="inlineStr">
        <is>
          <t>과장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37" t="n">
        <v>11</v>
      </c>
      <c r="J12" s="37" t="inlineStr">
        <is>
          <t>13층</t>
        </is>
      </c>
      <c r="K12" s="38" t="n"/>
      <c r="L12" s="37" t="inlineStr">
        <is>
          <t>경영기획실</t>
        </is>
      </c>
      <c r="M12" s="37" t="inlineStr">
        <is>
          <t>강소영</t>
        </is>
      </c>
      <c r="N12" s="37" t="inlineStr">
        <is>
          <t>주임</t>
        </is>
      </c>
    </row>
    <row r="13" ht="17.25" customHeight="1" s="53">
      <c r="A13" s="80" t="inlineStr">
        <is>
          <t>신사업개발실</t>
        </is>
      </c>
      <c r="B13" s="83" t="inlineStr">
        <is>
          <t>판관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22" t="n">
        <v>1</v>
      </c>
      <c r="J13" s="36" t="inlineStr">
        <is>
          <t>6층</t>
        </is>
      </c>
      <c r="K13" s="36" t="inlineStr">
        <is>
          <t>설계본부</t>
        </is>
      </c>
      <c r="L13" s="36" t="inlineStr">
        <is>
          <t>설계본부</t>
        </is>
      </c>
      <c r="M13" s="36" t="inlineStr">
        <is>
          <t>오진택</t>
        </is>
      </c>
      <c r="N13" s="36" t="inlineStr">
        <is>
          <t>전무</t>
        </is>
      </c>
    </row>
    <row r="14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17" t="n">
        <v>2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설계1실</t>
        </is>
      </c>
      <c r="M14" s="17" t="inlineStr">
        <is>
          <t>최우제</t>
        </is>
      </c>
      <c r="N14" s="17" t="inlineStr">
        <is>
          <t>상무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22" t="n">
        <v>3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김채영</t>
        </is>
      </c>
      <c r="N15" s="17" t="inlineStr">
        <is>
          <t>이사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</f>
        <v/>
      </c>
      <c r="F16" s="76">
        <f>D16+E16</f>
        <v/>
      </c>
      <c r="I16" s="17" t="n">
        <v>4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김태은</t>
        </is>
      </c>
      <c r="N16" s="17" t="inlineStr">
        <is>
          <t>과장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5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김민호</t>
        </is>
      </c>
      <c r="N17" s="17" t="inlineStr">
        <is>
          <t>대리</t>
        </is>
      </c>
    </row>
    <row r="18" ht="17.25" customHeight="1" s="53" thickBot="1">
      <c r="I18" s="22" t="n">
        <v>6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525354+14180-9</f>
        <v/>
      </c>
      <c r="E19" s="79" t="n">
        <v>52535</v>
      </c>
      <c r="F19" s="66">
        <f>D19+E19</f>
        <v/>
      </c>
      <c r="I19" s="17" t="n">
        <v>7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최수용</t>
        </is>
      </c>
      <c r="N19" s="17" t="inlineStr">
        <is>
          <t>사원</t>
        </is>
      </c>
    </row>
    <row r="20" ht="17.25" customHeight="1" s="53" thickBot="1">
      <c r="I20" s="22" t="n">
        <v>8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조지은</t>
        </is>
      </c>
      <c r="N20" s="17" t="inlineStr">
        <is>
          <t>이사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17" t="n">
        <v>9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ROUND($D$19/$C$25*C22,0)-1</f>
        <v/>
      </c>
      <c r="E22" s="75">
        <f>ROUND($E$19/$C$25*C22,0)</f>
        <v/>
      </c>
      <c r="F22" s="76">
        <f>D22+E22</f>
        <v/>
      </c>
      <c r="I22" s="22" t="n">
        <v>10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류승호</t>
        </is>
      </c>
      <c r="N22" s="17" t="inlineStr">
        <is>
          <t>과장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ROUND($D$19/$C$25*C23,0)</f>
        <v/>
      </c>
      <c r="E23" s="75">
        <f>ROUND($E$19/$C$25*C23,0)</f>
        <v/>
      </c>
      <c r="F23" s="76">
        <f>D23+E23</f>
        <v/>
      </c>
      <c r="I23" s="17" t="n">
        <v>11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최수지</t>
        </is>
      </c>
      <c r="N23" s="17" t="inlineStr">
        <is>
          <t>과장</t>
        </is>
      </c>
    </row>
    <row r="24" ht="17.25" customHeight="1" s="53" thickBot="1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ROUND($D$19/$C$25*C24,0)</f>
        <v/>
      </c>
      <c r="E24" s="75">
        <f>ROUND($E$19/$C$25*C24,0)</f>
        <v/>
      </c>
      <c r="F24" s="76">
        <f>D24+E24</f>
        <v/>
      </c>
      <c r="I24" s="22" t="n">
        <v>12</v>
      </c>
      <c r="J24" s="17" t="inlineStr">
        <is>
          <t>6층</t>
        </is>
      </c>
      <c r="K24" s="20" t="inlineStr">
        <is>
          <t>설계본부</t>
        </is>
      </c>
      <c r="L24" s="17" t="inlineStr">
        <is>
          <t>설계2실</t>
        </is>
      </c>
      <c r="M24" s="17" t="inlineStr">
        <is>
          <t>황진욱</t>
        </is>
      </c>
      <c r="N24" s="17" t="inlineStr">
        <is>
          <t>대리</t>
        </is>
      </c>
    </row>
    <row r="25" ht="17.25" customHeight="1" s="53" thickBot="1">
      <c r="A25" s="68" t="inlineStr">
        <is>
          <t>총합</t>
        </is>
      </c>
      <c r="B25" s="69" t="n"/>
      <c r="C25" s="70">
        <f>SUM(C22:C24)</f>
        <v/>
      </c>
      <c r="D25" s="77">
        <f>SUM(D22:D24)</f>
        <v/>
      </c>
      <c r="E25" s="84">
        <f>SUM(E22:E24)</f>
        <v/>
      </c>
      <c r="F25" s="78">
        <f>SUM(F22:F24)</f>
        <v/>
      </c>
      <c r="I25" s="37" t="n">
        <v>13</v>
      </c>
      <c r="J25" s="37" t="inlineStr">
        <is>
          <t>6층</t>
        </is>
      </c>
      <c r="K25" s="37" t="inlineStr">
        <is>
          <t>설계본부</t>
        </is>
      </c>
      <c r="L25" s="37" t="inlineStr">
        <is>
          <t>설계2실</t>
        </is>
      </c>
      <c r="M25" s="37" t="inlineStr">
        <is>
          <t>오한솔</t>
        </is>
      </c>
      <c r="N25" s="37" t="inlineStr">
        <is>
          <t>주임</t>
        </is>
      </c>
    </row>
    <row r="26" ht="18" customHeight="1" s="53">
      <c r="E26" s="0" t="n"/>
      <c r="I26" s="22" t="n">
        <v>1</v>
      </c>
      <c r="J26" s="22" t="inlineStr">
        <is>
          <t>11층</t>
        </is>
      </c>
      <c r="K26" s="39" t="inlineStr">
        <is>
          <t>설계본부</t>
        </is>
      </c>
      <c r="L26" s="22" t="inlineStr">
        <is>
          <t>신사업개발실</t>
        </is>
      </c>
      <c r="M26" s="22" t="inlineStr">
        <is>
          <t>최진달미</t>
        </is>
      </c>
      <c r="N26" s="22" t="inlineStr">
        <is>
          <t>전무</t>
        </is>
      </c>
    </row>
    <row r="27">
      <c r="I27" s="17" t="n">
        <v>2</v>
      </c>
      <c r="J27" s="17" t="inlineStr">
        <is>
          <t>11층</t>
        </is>
      </c>
      <c r="K27" s="20" t="inlineStr">
        <is>
          <t>설계본부</t>
        </is>
      </c>
      <c r="L27" s="17" t="inlineStr">
        <is>
          <t>신사업개발실</t>
        </is>
      </c>
      <c r="M27" s="17" t="inlineStr">
        <is>
          <t>박종철</t>
        </is>
      </c>
      <c r="N27" s="17" t="inlineStr">
        <is>
          <t>이사</t>
        </is>
      </c>
    </row>
    <row r="28">
      <c r="I28" s="22" t="n">
        <v>3</v>
      </c>
      <c r="J28" s="17" t="inlineStr">
        <is>
          <t>11층</t>
        </is>
      </c>
      <c r="K28" s="17" t="inlineStr">
        <is>
          <t>설계본부</t>
        </is>
      </c>
      <c r="L28" s="17" t="inlineStr">
        <is>
          <t>신사업개발실</t>
        </is>
      </c>
      <c r="M28" s="17" t="inlineStr">
        <is>
          <t>이정진</t>
        </is>
      </c>
      <c r="N28" s="17" t="inlineStr">
        <is>
          <t>부장</t>
        </is>
      </c>
    </row>
    <row r="29">
      <c r="A29" s="47" t="n"/>
      <c r="B29" s="47" t="n"/>
      <c r="C29" s="47" t="n"/>
      <c r="D29" s="47" t="n"/>
      <c r="E29" s="47" t="n"/>
      <c r="F29" s="47" t="n"/>
      <c r="I29" s="17" t="n">
        <v>4</v>
      </c>
      <c r="J29" s="22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22" t="inlineStr">
        <is>
          <t>김순성</t>
        </is>
      </c>
      <c r="N29" s="22" t="inlineStr">
        <is>
          <t>고문</t>
        </is>
      </c>
    </row>
    <row r="30">
      <c r="A30" s="12" t="n"/>
      <c r="B30" s="12" t="n"/>
      <c r="C30" s="12" t="n"/>
      <c r="D30" s="12" t="n"/>
      <c r="E30" s="12" t="n"/>
      <c r="F30" s="12" t="n"/>
      <c r="I30" s="22" t="n">
        <v>5</v>
      </c>
      <c r="J30" s="36" t="inlineStr">
        <is>
          <t>11층</t>
        </is>
      </c>
      <c r="K30" s="36" t="inlineStr">
        <is>
          <t>사업관리본부</t>
        </is>
      </c>
      <c r="L30" s="36" t="inlineStr">
        <is>
          <t>사업관리본부</t>
        </is>
      </c>
      <c r="M30" s="36" t="inlineStr">
        <is>
          <t>김동우</t>
        </is>
      </c>
      <c r="N30" s="36" t="inlineStr">
        <is>
          <t>전무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6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이성규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7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이강호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8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김동규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9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이완구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10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주현철</t>
        </is>
      </c>
      <c r="N35" s="17" t="inlineStr">
        <is>
          <t>상무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11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12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정연석</t>
        </is>
      </c>
      <c r="N37" s="17" t="inlineStr">
        <is>
          <t>대리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13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김진규</t>
        </is>
      </c>
      <c r="N38" s="17" t="inlineStr">
        <is>
          <t>대리</t>
        </is>
      </c>
    </row>
    <row r="39" ht="17.25" customHeight="1" s="53" thickBot="1">
      <c r="A39" s="12" t="n"/>
      <c r="B39" s="12" t="n"/>
      <c r="C39" s="11" t="n"/>
      <c r="D39" s="12" t="n"/>
      <c r="E39" s="12" t="n"/>
      <c r="F39" s="12" t="n"/>
      <c r="I39" s="37" t="n">
        <v>14</v>
      </c>
      <c r="J39" s="37" t="inlineStr">
        <is>
          <t>11층</t>
        </is>
      </c>
      <c r="K39" s="37" t="inlineStr">
        <is>
          <t>사업관리본부</t>
        </is>
      </c>
      <c r="L39" s="37" t="inlineStr">
        <is>
          <t>영업관리실</t>
        </is>
      </c>
      <c r="M39" s="37" t="inlineStr">
        <is>
          <t>연지현</t>
        </is>
      </c>
      <c r="N39" s="37" t="inlineStr">
        <is>
          <t>주임</t>
        </is>
      </c>
    </row>
    <row r="40" ht="17.25" customHeight="1" s="53" thickTop="1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 s="53">
      <c r="A49" s="12" t="n"/>
      <c r="B49" s="12" t="n"/>
      <c r="C49" s="12" t="n"/>
      <c r="D49" s="12" t="n"/>
      <c r="E49" s="12" t="n"/>
      <c r="F49" s="12" t="n"/>
      <c r="H49" s="0" t="n"/>
      <c r="I49" s="0" t="n"/>
      <c r="J49" s="0" t="n"/>
      <c r="K49" s="0" t="n"/>
      <c r="L49" s="0" t="n"/>
      <c r="M49" s="0" t="n"/>
      <c r="N49" s="0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  <c r="K50" s="0" t="n"/>
      <c r="L50" s="0" t="n"/>
      <c r="M50" s="0" t="n"/>
      <c r="N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  <c r="K51" s="0" t="n"/>
      <c r="L51" s="0" t="n"/>
      <c r="M51" s="0" t="n"/>
      <c r="N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  <c r="K52" s="0" t="n"/>
      <c r="L52" s="0" t="n"/>
      <c r="M52" s="0" t="n"/>
      <c r="N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  <c r="K53" s="0" t="n"/>
      <c r="L53" s="0" t="n"/>
      <c r="M53" s="0" t="n"/>
      <c r="N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  <c r="K54" s="0" t="n"/>
      <c r="L54" s="0" t="n"/>
      <c r="M54" s="0" t="n"/>
      <c r="N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  <c r="K55" s="0" t="n"/>
      <c r="L55" s="0" t="n"/>
      <c r="M55" s="0" t="n"/>
      <c r="N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  <c r="K56" s="0" t="n"/>
      <c r="L56" s="0" t="n"/>
      <c r="M56" s="0" t="n"/>
      <c r="N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  <c r="K57" s="0" t="n"/>
      <c r="L57" s="0" t="n"/>
      <c r="M57" s="0" t="n"/>
      <c r="N57" s="0" t="n"/>
    </row>
    <row r="58" s="53">
      <c r="A58" s="12" t="n"/>
      <c r="B58" s="12" t="n"/>
      <c r="C58" s="12" t="n"/>
      <c r="D58" s="12" t="n"/>
      <c r="E58" s="46" t="n"/>
      <c r="F58" s="12" t="n"/>
      <c r="H58" s="0" t="n"/>
      <c r="I58" s="0" t="n"/>
      <c r="J58" s="0" t="n"/>
      <c r="K58" s="0" t="n"/>
      <c r="L58" s="0" t="n"/>
      <c r="M58" s="0" t="n"/>
      <c r="N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  <c r="K59" s="0" t="n"/>
      <c r="L59" s="0" t="n"/>
      <c r="M59" s="0" t="n"/>
      <c r="N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  <c r="K60" s="0" t="n"/>
      <c r="L60" s="0" t="n"/>
      <c r="M60" s="0" t="n"/>
      <c r="N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  <c r="K61" s="0" t="n"/>
      <c r="L61" s="0" t="n"/>
      <c r="M61" s="0" t="n"/>
      <c r="N61" s="0" t="n"/>
    </row>
    <row r="62" s="53">
      <c r="A62" s="12" t="n"/>
      <c r="B62" s="12" t="n"/>
      <c r="C62" s="12" t="n"/>
      <c r="D62" s="12" t="n"/>
      <c r="E62" s="12" t="n"/>
      <c r="F62" s="12" t="n"/>
      <c r="H62" s="0" t="n"/>
      <c r="I62" s="0" t="n"/>
      <c r="J62" s="0" t="n"/>
      <c r="K62" s="0" t="n"/>
      <c r="L62" s="0" t="n"/>
      <c r="M62" s="0" t="n"/>
      <c r="N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  <c r="K63" s="0" t="n"/>
      <c r="L63" s="0" t="n"/>
      <c r="M63" s="0" t="n"/>
      <c r="N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  <c r="K64" s="0" t="n"/>
      <c r="L64" s="0" t="n"/>
      <c r="M64" s="0" t="n"/>
      <c r="N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  <c r="K65" s="0" t="n"/>
      <c r="L65" s="0" t="n"/>
      <c r="M65" s="0" t="n"/>
      <c r="N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  <c r="K66" s="0" t="n"/>
      <c r="L66" s="0" t="n"/>
      <c r="M66" s="0" t="n"/>
      <c r="N66" s="0" t="n"/>
    </row>
    <row r="67" s="53">
      <c r="A67" s="61" t="n"/>
      <c r="B67" s="61" t="n"/>
      <c r="C67" s="62" t="n"/>
      <c r="E67" s="63" t="n"/>
      <c r="H67" s="0" t="n"/>
      <c r="I67" s="0" t="n"/>
      <c r="J67" s="0" t="n"/>
      <c r="K67" s="0" t="n"/>
      <c r="L67" s="0" t="n"/>
      <c r="M67" s="0" t="n"/>
      <c r="N67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8"/>
  <sheetViews>
    <sheetView zoomScaleNormal="100" workbookViewId="0">
      <selection activeCell="G23" sqref="G23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hidden="1" width="13" customWidth="1" style="53" min="9" max="10"/>
    <col hidden="1" width="11.375" customWidth="1" style="53" min="11" max="11"/>
    <col hidden="1" width="18.625" customWidth="1" style="53" min="12" max="12"/>
    <col hidden="1" width="13" customWidth="1" style="53" min="13" max="14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450855+12170-1</f>
        <v/>
      </c>
      <c r="E2" s="79">
        <f>45086</f>
        <v/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건축구조환경연구그룹</t>
        </is>
      </c>
      <c r="M4" s="17" t="inlineStr">
        <is>
          <t>하연수</t>
        </is>
      </c>
      <c r="N4" s="17" t="inlineStr">
        <is>
          <t>연구원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김명진</t>
        </is>
      </c>
      <c r="N5" s="17" t="inlineStr">
        <is>
          <t>상무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조승제</t>
        </is>
      </c>
      <c r="N6" s="17" t="inlineStr">
        <is>
          <t>부장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ROUND($E$2/$C$8*C7,0)-1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이재영</t>
        </is>
      </c>
      <c r="N7" s="17" t="inlineStr">
        <is>
          <t>과장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강지혜</t>
        </is>
      </c>
      <c r="N8" s="17" t="inlineStr">
        <is>
          <t>대리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이경태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425908+11490-9</f>
        <v/>
      </c>
      <c r="E10" s="79" t="n">
        <v>42591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최경천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이재선</t>
        </is>
      </c>
      <c r="N11" s="17" t="inlineStr">
        <is>
          <t>차장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22" t="n">
        <v>11</v>
      </c>
      <c r="J12" s="17" t="inlineStr">
        <is>
          <t>13층</t>
        </is>
      </c>
      <c r="K12" s="17" t="n"/>
      <c r="L12" s="17" t="inlineStr">
        <is>
          <t>경영기획실</t>
        </is>
      </c>
      <c r="M12" s="17" t="inlineStr">
        <is>
          <t>이황</t>
        </is>
      </c>
      <c r="N12" s="17" t="inlineStr">
        <is>
          <t>과장</t>
        </is>
      </c>
    </row>
    <row r="13" ht="17.25" customHeight="1" s="53" thickBot="1">
      <c r="A13" s="80" t="inlineStr">
        <is>
          <t>신사업개발실</t>
        </is>
      </c>
      <c r="B13" s="73" t="inlineStr">
        <is>
          <t>제조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37" t="n">
        <v>12</v>
      </c>
      <c r="J13" s="37" t="inlineStr">
        <is>
          <t>13층</t>
        </is>
      </c>
      <c r="K13" s="38" t="n"/>
      <c r="L13" s="37" t="inlineStr">
        <is>
          <t>경영기획실</t>
        </is>
      </c>
      <c r="M13" s="37" t="inlineStr">
        <is>
          <t>강소영</t>
        </is>
      </c>
      <c r="N13" s="37" t="inlineStr">
        <is>
          <t>주임</t>
        </is>
      </c>
    </row>
    <row r="14" ht="17.25" customHeight="1" s="53" thickTop="1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22" t="n">
        <v>1</v>
      </c>
      <c r="J14" s="36" t="inlineStr">
        <is>
          <t>6층</t>
        </is>
      </c>
      <c r="K14" s="36" t="inlineStr">
        <is>
          <t>설계본부</t>
        </is>
      </c>
      <c r="L14" s="36" t="inlineStr">
        <is>
          <t>설계본부</t>
        </is>
      </c>
      <c r="M14" s="36" t="inlineStr">
        <is>
          <t>오진택</t>
        </is>
      </c>
      <c r="N14" s="36" t="inlineStr">
        <is>
          <t>전무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17" t="n">
        <v>2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최우제</t>
        </is>
      </c>
      <c r="N15" s="17" t="inlineStr">
        <is>
          <t>상무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ROUND($E$10/$C$17*C16,0)-1</f>
        <v/>
      </c>
      <c r="F16" s="76">
        <f>D16+E16</f>
        <v/>
      </c>
      <c r="I16" s="22" t="n">
        <v>3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김채영</t>
        </is>
      </c>
      <c r="N16" s="17" t="inlineStr">
        <is>
          <t>이사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4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김태은</t>
        </is>
      </c>
      <c r="N17" s="17" t="inlineStr">
        <is>
          <t>과장</t>
        </is>
      </c>
    </row>
    <row r="18" ht="17.25" customHeight="1" s="53" thickBot="1">
      <c r="I18" s="17" t="n">
        <v>5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김민호</t>
        </is>
      </c>
      <c r="N18" s="17" t="inlineStr">
        <is>
          <t>대리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451312+12180-3</f>
        <v/>
      </c>
      <c r="E19" s="79" t="n">
        <v>45131</v>
      </c>
      <c r="F19" s="66">
        <f>D19+E19</f>
        <v/>
      </c>
      <c r="I19" s="22" t="n">
        <v>6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이수영</t>
        </is>
      </c>
      <c r="N19" s="17" t="inlineStr">
        <is>
          <t>주임</t>
        </is>
      </c>
    </row>
    <row r="20" ht="17.25" customHeight="1" s="53" thickBot="1">
      <c r="I20" s="17" t="n">
        <v>7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설계1실</t>
        </is>
      </c>
      <c r="M20" s="17" t="inlineStr">
        <is>
          <t>최수용</t>
        </is>
      </c>
      <c r="N20" s="17" t="inlineStr">
        <is>
          <t>사원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22" t="n">
        <v>8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조지은</t>
        </is>
      </c>
      <c r="N21" s="17" t="inlineStr">
        <is>
          <t>이사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ROUND($D$19/$C$26*C22,0)-1</f>
        <v/>
      </c>
      <c r="E22" s="75">
        <f>ROUND($E$19/$C$26*C22,0)+1</f>
        <v/>
      </c>
      <c r="F22" s="76">
        <f>D22+E22</f>
        <v/>
      </c>
      <c r="I22" s="17" t="n">
        <v>9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이예솔</t>
        </is>
      </c>
      <c r="N22" s="17" t="inlineStr">
        <is>
          <t>과장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ROUND($D$19/$C$26*C23,0)</f>
        <v/>
      </c>
      <c r="E23" s="75">
        <f>ROUND($E$19/$C$26*C23,0)</f>
        <v/>
      </c>
      <c r="F23" s="76">
        <f>D23+E23</f>
        <v/>
      </c>
      <c r="I23" s="22" t="n">
        <v>10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류승호</t>
        </is>
      </c>
      <c r="N23" s="17" t="inlineStr">
        <is>
          <t>과장</t>
        </is>
      </c>
    </row>
    <row r="24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ROUND($D$19/$C$26*C24,0)</f>
        <v/>
      </c>
      <c r="E24" s="75">
        <f>ROUND($E$19/$C$26*C24,0)</f>
        <v/>
      </c>
      <c r="F24" s="76">
        <f>D24+E24</f>
        <v/>
      </c>
      <c r="I24" s="17" t="n">
        <v>11</v>
      </c>
      <c r="J24" s="17" t="inlineStr">
        <is>
          <t>6층</t>
        </is>
      </c>
      <c r="K24" s="17" t="inlineStr">
        <is>
          <t>설계본부</t>
        </is>
      </c>
      <c r="L24" s="17" t="inlineStr">
        <is>
          <t>설계2실</t>
        </is>
      </c>
      <c r="M24" s="17" t="inlineStr">
        <is>
          <t>최수지</t>
        </is>
      </c>
      <c r="N24" s="17" t="inlineStr">
        <is>
          <t>과장</t>
        </is>
      </c>
    </row>
    <row r="25" ht="17.25" customHeight="1" s="53" thickBot="1">
      <c r="A25" s="80" t="inlineStr">
        <is>
          <t>건축구조환경연구그룹</t>
        </is>
      </c>
      <c r="B25" s="73" t="inlineStr">
        <is>
          <t>연구</t>
        </is>
      </c>
      <c r="C25" s="74">
        <f>COUNTIF(L:L,"R&amp;D본부")</f>
        <v/>
      </c>
      <c r="D25" s="75">
        <f>ROUND($D$19/$C$26*C25,0)</f>
        <v/>
      </c>
      <c r="E25" s="75">
        <f>ROUND($E$19/$C$26*C25,0)</f>
        <v/>
      </c>
      <c r="F25" s="76">
        <f>D25+E25</f>
        <v/>
      </c>
      <c r="I25" s="22" t="n">
        <v>12</v>
      </c>
      <c r="J25" s="17" t="inlineStr">
        <is>
          <t>6층</t>
        </is>
      </c>
      <c r="K25" s="20" t="inlineStr">
        <is>
          <t>설계본부</t>
        </is>
      </c>
      <c r="L25" s="17" t="inlineStr">
        <is>
          <t>설계2실</t>
        </is>
      </c>
      <c r="M25" s="17" t="inlineStr">
        <is>
          <t>황진욱</t>
        </is>
      </c>
      <c r="N25" s="17" t="inlineStr">
        <is>
          <t>대리</t>
        </is>
      </c>
    </row>
    <row r="26" ht="17.25" customHeight="1" s="53" thickBot="1">
      <c r="A26" s="68" t="inlineStr">
        <is>
          <t>총합</t>
        </is>
      </c>
      <c r="B26" s="69" t="n"/>
      <c r="C26" s="70">
        <f>SUM(C22:C25)</f>
        <v/>
      </c>
      <c r="D26" s="77">
        <f>SUM(D22:D25)</f>
        <v/>
      </c>
      <c r="E26" s="84">
        <f>SUM(E22:E25)</f>
        <v/>
      </c>
      <c r="F26" s="78">
        <f>SUM(F22:F25)</f>
        <v/>
      </c>
      <c r="I26" s="37" t="n">
        <v>13</v>
      </c>
      <c r="J26" s="37" t="inlineStr">
        <is>
          <t>6층</t>
        </is>
      </c>
      <c r="K26" s="37" t="inlineStr">
        <is>
          <t>설계본부</t>
        </is>
      </c>
      <c r="L26" s="37" t="inlineStr">
        <is>
          <t>설계2실</t>
        </is>
      </c>
      <c r="M26" s="37" t="inlineStr">
        <is>
          <t>오한솔</t>
        </is>
      </c>
      <c r="N26" s="37" t="inlineStr">
        <is>
          <t>주임</t>
        </is>
      </c>
    </row>
    <row r="27" ht="18" customHeight="1" s="53">
      <c r="E27" s="0" t="n"/>
      <c r="I27" s="22" t="n">
        <v>1</v>
      </c>
      <c r="J27" s="22" t="inlineStr">
        <is>
          <t>11층</t>
        </is>
      </c>
      <c r="K27" s="39" t="inlineStr">
        <is>
          <t>설계본부</t>
        </is>
      </c>
      <c r="L27" s="22" t="inlineStr">
        <is>
          <t>신사업개발실</t>
        </is>
      </c>
      <c r="M27" s="22" t="inlineStr">
        <is>
          <t>최진달미</t>
        </is>
      </c>
      <c r="N27" s="22" t="inlineStr">
        <is>
          <t>전무</t>
        </is>
      </c>
    </row>
    <row r="28">
      <c r="I28" s="17" t="n">
        <v>2</v>
      </c>
      <c r="J28" s="17" t="inlineStr">
        <is>
          <t>11층</t>
        </is>
      </c>
      <c r="K28" s="20" t="inlineStr">
        <is>
          <t>설계본부</t>
        </is>
      </c>
      <c r="L28" s="17" t="inlineStr">
        <is>
          <t>신사업개발실</t>
        </is>
      </c>
      <c r="M28" s="17" t="inlineStr">
        <is>
          <t>박종철</t>
        </is>
      </c>
      <c r="N28" s="17" t="inlineStr">
        <is>
          <t>이사</t>
        </is>
      </c>
    </row>
    <row r="29">
      <c r="I29" s="22" t="n">
        <v>3</v>
      </c>
      <c r="J29" s="17" t="inlineStr">
        <is>
          <t>11층</t>
        </is>
      </c>
      <c r="K29" s="17" t="inlineStr">
        <is>
          <t>설계본부</t>
        </is>
      </c>
      <c r="L29" s="17" t="inlineStr">
        <is>
          <t>신사업개발실</t>
        </is>
      </c>
      <c r="M29" s="17" t="inlineStr">
        <is>
          <t>이정진</t>
        </is>
      </c>
      <c r="N29" s="17" t="inlineStr">
        <is>
          <t>부장</t>
        </is>
      </c>
    </row>
    <row r="30">
      <c r="A30" s="47" t="n"/>
      <c r="B30" s="47" t="n"/>
      <c r="C30" s="47" t="n"/>
      <c r="D30" s="47" t="n"/>
      <c r="E30" s="47" t="n"/>
      <c r="F30" s="47" t="n"/>
      <c r="I30" s="17" t="n">
        <v>4</v>
      </c>
      <c r="J30" s="22" t="inlineStr">
        <is>
          <t>11층</t>
        </is>
      </c>
      <c r="K30" s="20" t="inlineStr">
        <is>
          <t>설계본부</t>
        </is>
      </c>
      <c r="L30" s="17" t="inlineStr">
        <is>
          <t>신사업개발실</t>
        </is>
      </c>
      <c r="M30" s="22" t="inlineStr">
        <is>
          <t>김순성</t>
        </is>
      </c>
      <c r="N30" s="22" t="inlineStr">
        <is>
          <t>고문</t>
        </is>
      </c>
    </row>
    <row r="31">
      <c r="A31" s="12" t="n"/>
      <c r="B31" s="12" t="n"/>
      <c r="C31" s="12" t="n"/>
      <c r="D31" s="12" t="n"/>
      <c r="E31" s="12" t="n"/>
      <c r="F31" s="12" t="n"/>
      <c r="I31" s="22" t="n">
        <v>5</v>
      </c>
      <c r="J31" s="36" t="inlineStr">
        <is>
          <t>11층</t>
        </is>
      </c>
      <c r="K31" s="36" t="inlineStr">
        <is>
          <t>사업관리본부</t>
        </is>
      </c>
      <c r="L31" s="36" t="inlineStr">
        <is>
          <t>사업관리본부</t>
        </is>
      </c>
      <c r="M31" s="36" t="inlineStr">
        <is>
          <t>김동우</t>
        </is>
      </c>
      <c r="N31" s="36" t="inlineStr">
        <is>
          <t>전무</t>
        </is>
      </c>
    </row>
    <row r="32">
      <c r="A32" s="12" t="n"/>
      <c r="B32" s="12" t="n"/>
      <c r="C32" s="12" t="n"/>
      <c r="D32" s="12" t="n"/>
      <c r="E32" s="12" t="n"/>
      <c r="F32" s="12" t="n"/>
      <c r="I32" s="17" t="n">
        <v>6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이성규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22" t="n">
        <v>7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이강호</t>
        </is>
      </c>
      <c r="N33" s="17" t="inlineStr">
        <is>
          <t>차장</t>
        </is>
      </c>
    </row>
    <row r="34">
      <c r="A34" s="12" t="n"/>
      <c r="B34" s="12" t="n"/>
      <c r="C34" s="12" t="n"/>
      <c r="D34" s="12" t="n"/>
      <c r="E34" s="12" t="n"/>
      <c r="F34" s="12" t="n"/>
      <c r="I34" s="17" t="n">
        <v>8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김동규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22" t="n">
        <v>9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사업관리실</t>
        </is>
      </c>
      <c r="M35" s="41" t="inlineStr">
        <is>
          <t>이완구</t>
        </is>
      </c>
      <c r="N35" s="17" t="inlineStr">
        <is>
          <t>부장</t>
        </is>
      </c>
    </row>
    <row r="36">
      <c r="A36" s="12" t="n"/>
      <c r="B36" s="12" t="n"/>
      <c r="C36" s="12" t="n"/>
      <c r="D36" s="12" t="n"/>
      <c r="E36" s="12" t="n"/>
      <c r="F36" s="12" t="n"/>
      <c r="I36" s="17" t="n">
        <v>10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주현철</t>
        </is>
      </c>
      <c r="N36" s="17" t="inlineStr">
        <is>
          <t>상무</t>
        </is>
      </c>
    </row>
    <row r="37">
      <c r="A37" s="12" t="n"/>
      <c r="B37" s="12" t="n"/>
      <c r="C37" s="12" t="n"/>
      <c r="D37" s="12" t="n"/>
      <c r="E37" s="12" t="n"/>
      <c r="F37" s="12" t="n"/>
      <c r="I37" s="22" t="n">
        <v>11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문광정</t>
        </is>
      </c>
      <c r="N37" s="17" t="inlineStr">
        <is>
          <t>부장</t>
        </is>
      </c>
    </row>
    <row r="38">
      <c r="A38" s="12" t="n"/>
      <c r="B38" s="12" t="n"/>
      <c r="C38" s="12" t="n"/>
      <c r="D38" s="12" t="n"/>
      <c r="E38" s="12" t="n"/>
      <c r="F38" s="12" t="n"/>
      <c r="I38" s="17" t="n">
        <v>12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정연석</t>
        </is>
      </c>
      <c r="N38" s="17" t="inlineStr">
        <is>
          <t>대리</t>
        </is>
      </c>
    </row>
    <row r="39">
      <c r="A39" s="12" t="n"/>
      <c r="B39" s="12" t="n"/>
      <c r="C39" s="12" t="n"/>
      <c r="D39" s="12" t="n"/>
      <c r="E39" s="12" t="n"/>
      <c r="F39" s="12" t="n"/>
      <c r="I39" s="22" t="n">
        <v>13</v>
      </c>
      <c r="J39" s="17" t="inlineStr">
        <is>
          <t>11층</t>
        </is>
      </c>
      <c r="K39" s="17" t="inlineStr">
        <is>
          <t>사업관리본부</t>
        </is>
      </c>
      <c r="L39" s="17" t="inlineStr">
        <is>
          <t>영업관리실</t>
        </is>
      </c>
      <c r="M39" s="17" t="inlineStr">
        <is>
          <t>이주현</t>
        </is>
      </c>
      <c r="N39" s="17" t="inlineStr">
        <is>
          <t>주임</t>
        </is>
      </c>
    </row>
    <row r="40" ht="17.25" customHeight="1" s="53">
      <c r="A40" s="12" t="n"/>
      <c r="B40" s="12" t="n"/>
      <c r="C40" s="11" t="n"/>
      <c r="D40" s="12" t="n"/>
      <c r="E40" s="12" t="n"/>
      <c r="F40" s="12" t="n"/>
      <c r="I40" s="17" t="n">
        <v>14</v>
      </c>
      <c r="J40" s="17" t="inlineStr">
        <is>
          <t>11층</t>
        </is>
      </c>
      <c r="K40" s="17" t="inlineStr">
        <is>
          <t>사업관리본부</t>
        </is>
      </c>
      <c r="L40" s="17" t="inlineStr">
        <is>
          <t>영업관리실</t>
        </is>
      </c>
      <c r="M40" s="17" t="inlineStr">
        <is>
          <t>김진규</t>
        </is>
      </c>
      <c r="N40" s="17" t="inlineStr">
        <is>
          <t>대리</t>
        </is>
      </c>
    </row>
    <row r="41" ht="17.25" customHeight="1" s="53" thickBot="1">
      <c r="A41" s="12" t="n"/>
      <c r="B41" s="12" t="n"/>
      <c r="C41" s="12" t="n"/>
      <c r="D41" s="12" t="n"/>
      <c r="E41" s="12" t="n"/>
      <c r="F41" s="12" t="n"/>
      <c r="I41" s="37" t="n">
        <v>15</v>
      </c>
      <c r="J41" s="37" t="inlineStr">
        <is>
          <t>11층</t>
        </is>
      </c>
      <c r="K41" s="37" t="inlineStr">
        <is>
          <t>사업관리본부</t>
        </is>
      </c>
      <c r="L41" s="37" t="inlineStr">
        <is>
          <t>영업관리실</t>
        </is>
      </c>
      <c r="M41" s="37" t="inlineStr">
        <is>
          <t>연지현</t>
        </is>
      </c>
      <c r="N41" s="37" t="inlineStr">
        <is>
          <t>주임</t>
        </is>
      </c>
    </row>
    <row r="42" ht="17.25" customHeight="1" s="53" thickTop="1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  <c r="K50" s="0" t="n"/>
      <c r="L50" s="0" t="n"/>
      <c r="M50" s="0" t="n"/>
      <c r="N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  <c r="K51" s="0" t="n"/>
      <c r="L51" s="0" t="n"/>
      <c r="M51" s="0" t="n"/>
      <c r="N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  <c r="K52" s="0" t="n"/>
      <c r="L52" s="0" t="n"/>
      <c r="M52" s="0" t="n"/>
      <c r="N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  <c r="K53" s="0" t="n"/>
      <c r="L53" s="0" t="n"/>
      <c r="M53" s="0" t="n"/>
      <c r="N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  <c r="K54" s="0" t="n"/>
      <c r="L54" s="0" t="n"/>
      <c r="M54" s="0" t="n"/>
      <c r="N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  <c r="K55" s="0" t="n"/>
      <c r="L55" s="0" t="n"/>
      <c r="M55" s="0" t="n"/>
      <c r="N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  <c r="K56" s="0" t="n"/>
      <c r="L56" s="0" t="n"/>
      <c r="M56" s="0" t="n"/>
      <c r="N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  <c r="K57" s="0" t="n"/>
      <c r="L57" s="0" t="n"/>
      <c r="M57" s="0" t="n"/>
      <c r="N57" s="0" t="n"/>
    </row>
    <row r="58" s="53">
      <c r="A58" s="12" t="n"/>
      <c r="B58" s="12" t="n"/>
      <c r="C58" s="12" t="n"/>
      <c r="D58" s="12" t="n"/>
      <c r="E58" s="12" t="n"/>
      <c r="F58" s="12" t="n"/>
      <c r="H58" s="0" t="n"/>
      <c r="I58" s="0" t="n"/>
      <c r="J58" s="0" t="n"/>
      <c r="K58" s="0" t="n"/>
      <c r="L58" s="0" t="n"/>
      <c r="M58" s="0" t="n"/>
      <c r="N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  <c r="K59" s="0" t="n"/>
      <c r="L59" s="0" t="n"/>
      <c r="M59" s="0" t="n"/>
      <c r="N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  <c r="K60" s="0" t="n"/>
      <c r="L60" s="0" t="n"/>
      <c r="M60" s="0" t="n"/>
      <c r="N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  <c r="K61" s="0" t="n"/>
      <c r="L61" s="0" t="n"/>
      <c r="M61" s="0" t="n"/>
      <c r="N61" s="0" t="n"/>
    </row>
    <row r="62" s="53">
      <c r="A62" s="12" t="n"/>
      <c r="B62" s="12" t="n"/>
      <c r="C62" s="12" t="n"/>
      <c r="D62" s="12" t="n"/>
      <c r="E62" s="46" t="n"/>
      <c r="F62" s="12" t="n"/>
      <c r="H62" s="0" t="n"/>
      <c r="I62" s="0" t="n"/>
      <c r="J62" s="0" t="n"/>
      <c r="K62" s="0" t="n"/>
      <c r="L62" s="0" t="n"/>
      <c r="M62" s="0" t="n"/>
      <c r="N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  <c r="K63" s="0" t="n"/>
      <c r="L63" s="0" t="n"/>
      <c r="M63" s="0" t="n"/>
      <c r="N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  <c r="K64" s="0" t="n"/>
      <c r="L64" s="0" t="n"/>
      <c r="M64" s="0" t="n"/>
      <c r="N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  <c r="K65" s="0" t="n"/>
      <c r="L65" s="0" t="n"/>
      <c r="M65" s="0" t="n"/>
      <c r="N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  <c r="K66" s="0" t="n"/>
      <c r="L66" s="0" t="n"/>
      <c r="M66" s="0" t="n"/>
      <c r="N66" s="0" t="n"/>
    </row>
    <row r="67" s="53">
      <c r="A67" s="12" t="n"/>
      <c r="B67" s="12" t="n"/>
      <c r="C67" s="12" t="n"/>
      <c r="D67" s="12" t="n"/>
      <c r="E67" s="12" t="n"/>
      <c r="F67" s="12" t="n"/>
      <c r="H67" s="0" t="n"/>
      <c r="I67" s="0" t="n"/>
      <c r="J67" s="0" t="n"/>
      <c r="K67" s="0" t="n"/>
      <c r="L67" s="0" t="n"/>
      <c r="M67" s="0" t="n"/>
      <c r="N67" s="0" t="n"/>
    </row>
    <row r="68" s="53">
      <c r="A68" s="61" t="n"/>
      <c r="B68" s="61" t="n"/>
      <c r="C68" s="62" t="n"/>
      <c r="E68" s="63" t="n"/>
      <c r="H68" s="0" t="n"/>
      <c r="I68" s="0" t="n"/>
      <c r="J68" s="0" t="n"/>
      <c r="K68" s="0" t="n"/>
      <c r="L68" s="0" t="n"/>
      <c r="M68" s="0" t="n"/>
      <c r="N68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8"/>
  <sheetViews>
    <sheetView zoomScaleNormal="100" workbookViewId="0">
      <selection activeCell="M12" sqref="M12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178591+5134+4820+130-4</f>
        <v/>
      </c>
      <c r="E2" s="79" t="n">
        <v>17859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건축구조환경연구그룹</t>
        </is>
      </c>
      <c r="M4" s="17" t="inlineStr">
        <is>
          <t>하연수</t>
        </is>
      </c>
      <c r="N4" s="17" t="inlineStr">
        <is>
          <t>연구원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김명진</t>
        </is>
      </c>
      <c r="N5" s="17" t="inlineStr">
        <is>
          <t>상무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조승제</t>
        </is>
      </c>
      <c r="N6" s="17" t="inlineStr">
        <is>
          <t>부장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ROUND($E$2/$C$8*C7,0)-1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이재영</t>
        </is>
      </c>
      <c r="N7" s="17" t="inlineStr">
        <is>
          <t>과장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강지혜</t>
        </is>
      </c>
      <c r="N8" s="17" t="inlineStr">
        <is>
          <t>대리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이경태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226535+6110-9</f>
        <v/>
      </c>
      <c r="E10" s="79" t="n">
        <v>22654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최경천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이재선</t>
        </is>
      </c>
      <c r="N11" s="17" t="inlineStr">
        <is>
          <t>차장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22" t="n">
        <v>11</v>
      </c>
      <c r="J12" s="17" t="inlineStr">
        <is>
          <t>13층</t>
        </is>
      </c>
      <c r="K12" s="17" t="n"/>
      <c r="L12" s="17" t="inlineStr">
        <is>
          <t>경영기획실</t>
        </is>
      </c>
      <c r="M12" s="17" t="inlineStr">
        <is>
          <t>이황</t>
        </is>
      </c>
      <c r="N12" s="17" t="inlineStr">
        <is>
          <t>과장</t>
        </is>
      </c>
    </row>
    <row r="13" ht="17.25" customHeight="1" s="53" thickBot="1">
      <c r="A13" s="80" t="inlineStr">
        <is>
          <t>신사업개발실</t>
        </is>
      </c>
      <c r="B13" s="73" t="inlineStr">
        <is>
          <t>제조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37" t="n">
        <v>12</v>
      </c>
      <c r="J13" s="37" t="inlineStr">
        <is>
          <t>13층</t>
        </is>
      </c>
      <c r="K13" s="38" t="n"/>
      <c r="L13" s="37" t="inlineStr">
        <is>
          <t>경영기획실</t>
        </is>
      </c>
      <c r="M13" s="37" t="inlineStr">
        <is>
          <t>강소영</t>
        </is>
      </c>
      <c r="N13" s="37" t="inlineStr">
        <is>
          <t>주임</t>
        </is>
      </c>
    </row>
    <row r="14" ht="17.25" customHeight="1" s="53" thickTop="1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22" t="n">
        <v>1</v>
      </c>
      <c r="J14" s="36" t="inlineStr">
        <is>
          <t>6층</t>
        </is>
      </c>
      <c r="K14" s="36" t="inlineStr">
        <is>
          <t>설계본부</t>
        </is>
      </c>
      <c r="L14" s="36" t="inlineStr">
        <is>
          <t>설계본부</t>
        </is>
      </c>
      <c r="M14" s="36" t="inlineStr">
        <is>
          <t>오진택</t>
        </is>
      </c>
      <c r="N14" s="36" t="inlineStr">
        <is>
          <t>전무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17" t="n">
        <v>2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최우제</t>
        </is>
      </c>
      <c r="N15" s="17" t="inlineStr">
        <is>
          <t>상무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ROUND($E$10/$C$17*C16,0)-1</f>
        <v/>
      </c>
      <c r="F16" s="76">
        <f>D16+E16</f>
        <v/>
      </c>
      <c r="I16" s="22" t="n">
        <v>3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설계2실</t>
        </is>
      </c>
      <c r="M16" s="17" t="inlineStr">
        <is>
          <t>김채영</t>
        </is>
      </c>
      <c r="N16" s="17" t="inlineStr">
        <is>
          <t>이사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4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김태은</t>
        </is>
      </c>
      <c r="N17" s="17" t="inlineStr">
        <is>
          <t>과장</t>
        </is>
      </c>
    </row>
    <row r="18" ht="17.25" customHeight="1" s="53" thickBot="1">
      <c r="I18" s="22" t="n">
        <v>5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기재관</t>
        </is>
      </c>
      <c r="N18" s="17" t="inlineStr">
        <is>
          <t>과장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262136+7070</f>
        <v/>
      </c>
      <c r="E19" s="79" t="n">
        <v>26214</v>
      </c>
      <c r="F19" s="66">
        <f>D19+E19</f>
        <v/>
      </c>
      <c r="I19" s="17" t="n">
        <v>6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김민호</t>
        </is>
      </c>
      <c r="N19" s="17" t="inlineStr">
        <is>
          <t>대리</t>
        </is>
      </c>
    </row>
    <row r="20" ht="17.25" customHeight="1" s="53" thickBot="1">
      <c r="I20" s="22" t="n">
        <v>7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설계1실</t>
        </is>
      </c>
      <c r="M20" s="17" t="inlineStr">
        <is>
          <t>이수영</t>
        </is>
      </c>
      <c r="N20" s="17" t="inlineStr">
        <is>
          <t>주임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17" t="n">
        <v>8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설계1실</t>
        </is>
      </c>
      <c r="M21" s="17" t="inlineStr">
        <is>
          <t>최수용</t>
        </is>
      </c>
      <c r="N21" s="17" t="inlineStr">
        <is>
          <t>사원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ROUND($D$19/$C$26*C22,0)-1</f>
        <v/>
      </c>
      <c r="E22" s="75">
        <f>ROUND($E$19/$C$26*C22,0)+1</f>
        <v/>
      </c>
      <c r="F22" s="76">
        <f>D22+E22</f>
        <v/>
      </c>
      <c r="I22" s="22" t="n">
        <v>9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조지은</t>
        </is>
      </c>
      <c r="N22" s="17" t="inlineStr">
        <is>
          <t>이사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ROUND($D$19/$C$26*C23,0)</f>
        <v/>
      </c>
      <c r="E23" s="75">
        <f>ROUND($E$19/$C$26*C23,0)</f>
        <v/>
      </c>
      <c r="F23" s="76">
        <f>D23+E23</f>
        <v/>
      </c>
      <c r="I23" s="17" t="n">
        <v>10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이예솔</t>
        </is>
      </c>
      <c r="N23" s="17" t="inlineStr">
        <is>
          <t>과장</t>
        </is>
      </c>
    </row>
    <row r="24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ROUND($D$19/$C$26*C24,0)</f>
        <v/>
      </c>
      <c r="E24" s="75">
        <f>ROUND($E$19/$C$26*C24,0)</f>
        <v/>
      </c>
      <c r="F24" s="76">
        <f>D24+E24</f>
        <v/>
      </c>
      <c r="I24" s="22" t="n">
        <v>11</v>
      </c>
      <c r="J24" s="17" t="inlineStr">
        <is>
          <t>6층</t>
        </is>
      </c>
      <c r="K24" s="17" t="inlineStr">
        <is>
          <t>설계본부</t>
        </is>
      </c>
      <c r="L24" s="17" t="inlineStr">
        <is>
          <t>설계2실</t>
        </is>
      </c>
      <c r="M24" s="17" t="inlineStr">
        <is>
          <t>류승호</t>
        </is>
      </c>
      <c r="N24" s="17" t="inlineStr">
        <is>
          <t>과장</t>
        </is>
      </c>
    </row>
    <row r="25" ht="17.25" customHeight="1" s="53" thickBot="1">
      <c r="A25" s="80" t="inlineStr">
        <is>
          <t>건축구조환경연구그룹</t>
        </is>
      </c>
      <c r="B25" s="73" t="inlineStr">
        <is>
          <t>연구</t>
        </is>
      </c>
      <c r="C25" s="74">
        <f>COUNTIF(L:L,"R&amp;D본부")</f>
        <v/>
      </c>
      <c r="D25" s="75">
        <f>ROUND($D$19/$C$26*C25,0)</f>
        <v/>
      </c>
      <c r="E25" s="75">
        <f>ROUND($E$19/$C$26*C25,0)</f>
        <v/>
      </c>
      <c r="F25" s="76">
        <f>D25+E25</f>
        <v/>
      </c>
      <c r="I25" s="17" t="n">
        <v>12</v>
      </c>
      <c r="J25" s="17" t="inlineStr">
        <is>
          <t>6층</t>
        </is>
      </c>
      <c r="K25" s="17" t="inlineStr">
        <is>
          <t>설계본부</t>
        </is>
      </c>
      <c r="L25" s="17" t="inlineStr">
        <is>
          <t>설계2실</t>
        </is>
      </c>
      <c r="M25" s="17" t="inlineStr">
        <is>
          <t>최수지</t>
        </is>
      </c>
      <c r="N25" s="17" t="inlineStr">
        <is>
          <t>과장</t>
        </is>
      </c>
    </row>
    <row r="26" ht="17.25" customHeight="1" s="53" thickBot="1">
      <c r="A26" s="68" t="inlineStr">
        <is>
          <t>총합</t>
        </is>
      </c>
      <c r="B26" s="69" t="n"/>
      <c r="C26" s="70">
        <f>SUM(C22:C25)</f>
        <v/>
      </c>
      <c r="D26" s="77">
        <f>SUM(D22:D25)</f>
        <v/>
      </c>
      <c r="E26" s="84">
        <f>SUM(E22:E25)</f>
        <v/>
      </c>
      <c r="F26" s="78">
        <f>SUM(F22:F25)</f>
        <v/>
      </c>
      <c r="I26" s="22" t="n">
        <v>13</v>
      </c>
      <c r="J26" s="17" t="inlineStr">
        <is>
          <t>6층</t>
        </is>
      </c>
      <c r="K26" s="20" t="inlineStr">
        <is>
          <t>설계본부</t>
        </is>
      </c>
      <c r="L26" s="17" t="inlineStr">
        <is>
          <t>설계2실</t>
        </is>
      </c>
      <c r="M26" s="17" t="inlineStr">
        <is>
          <t>황진욱</t>
        </is>
      </c>
      <c r="N26" s="17" t="inlineStr">
        <is>
          <t>대리</t>
        </is>
      </c>
    </row>
    <row r="27" ht="18" customHeight="1" s="53" thickBot="1">
      <c r="E27" s="0" t="n"/>
      <c r="I27" s="37" t="n">
        <v>14</v>
      </c>
      <c r="J27" s="37" t="inlineStr">
        <is>
          <t>6층</t>
        </is>
      </c>
      <c r="K27" s="37" t="inlineStr">
        <is>
          <t>설계본부</t>
        </is>
      </c>
      <c r="L27" s="37" t="inlineStr">
        <is>
          <t>설계2실</t>
        </is>
      </c>
      <c r="M27" s="37" t="inlineStr">
        <is>
          <t>오한솔</t>
        </is>
      </c>
      <c r="N27" s="37" t="inlineStr">
        <is>
          <t>주임</t>
        </is>
      </c>
    </row>
    <row r="28" ht="17.25" customHeight="1" s="53" thickTop="1">
      <c r="I28" s="22" t="n">
        <v>1</v>
      </c>
      <c r="J28" s="22" t="inlineStr">
        <is>
          <t>11층</t>
        </is>
      </c>
      <c r="K28" s="39" t="inlineStr">
        <is>
          <t>설계본부</t>
        </is>
      </c>
      <c r="L28" s="22" t="inlineStr">
        <is>
          <t>신사업개발실</t>
        </is>
      </c>
      <c r="M28" s="22" t="inlineStr">
        <is>
          <t>최진달미</t>
        </is>
      </c>
      <c r="N28" s="22" t="inlineStr">
        <is>
          <t>전무</t>
        </is>
      </c>
    </row>
    <row r="29">
      <c r="I29" s="17" t="n">
        <v>2</v>
      </c>
      <c r="J29" s="17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17" t="inlineStr">
        <is>
          <t>박종철</t>
        </is>
      </c>
      <c r="N29" s="17" t="inlineStr">
        <is>
          <t>이사</t>
        </is>
      </c>
    </row>
    <row r="30">
      <c r="A30" s="47" t="n"/>
      <c r="B30" s="47" t="n"/>
      <c r="C30" s="47" t="n"/>
      <c r="D30" s="47" t="n"/>
      <c r="E30" s="47" t="n"/>
      <c r="F30" s="47" t="n"/>
      <c r="I30" s="22" t="n">
        <v>3</v>
      </c>
      <c r="J30" s="17" t="inlineStr">
        <is>
          <t>11층</t>
        </is>
      </c>
      <c r="K30" s="17" t="inlineStr">
        <is>
          <t>설계본부</t>
        </is>
      </c>
      <c r="L30" s="17" t="inlineStr">
        <is>
          <t>신사업개발실</t>
        </is>
      </c>
      <c r="M30" s="17" t="inlineStr">
        <is>
          <t>이정진</t>
        </is>
      </c>
      <c r="N30" s="17" t="inlineStr">
        <is>
          <t>부장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4</v>
      </c>
      <c r="J31" s="22" t="inlineStr">
        <is>
          <t>11층</t>
        </is>
      </c>
      <c r="K31" s="20" t="inlineStr">
        <is>
          <t>설계본부</t>
        </is>
      </c>
      <c r="L31" s="17" t="inlineStr">
        <is>
          <t>신사업개발실</t>
        </is>
      </c>
      <c r="M31" s="22" t="inlineStr">
        <is>
          <t>김순성</t>
        </is>
      </c>
      <c r="N31" s="22" t="inlineStr">
        <is>
          <t>고문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5</v>
      </c>
      <c r="J32" s="36" t="inlineStr">
        <is>
          <t>11층</t>
        </is>
      </c>
      <c r="K32" s="36" t="inlineStr">
        <is>
          <t>사업관리본부</t>
        </is>
      </c>
      <c r="L32" s="36" t="inlineStr">
        <is>
          <t>사업관리본부</t>
        </is>
      </c>
      <c r="M32" s="36" t="inlineStr">
        <is>
          <t>김동우</t>
        </is>
      </c>
      <c r="N32" s="36" t="inlineStr">
        <is>
          <t>전무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6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이성규</t>
        </is>
      </c>
      <c r="N33" s="17" t="inlineStr">
        <is>
          <t>차장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7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이강호</t>
        </is>
      </c>
      <c r="N34" s="17" t="inlineStr">
        <is>
          <t>차장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8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사업관리실</t>
        </is>
      </c>
      <c r="M35" s="41" t="inlineStr">
        <is>
          <t>김동규</t>
        </is>
      </c>
      <c r="N35" s="17" t="inlineStr">
        <is>
          <t>부장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9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사업관리실</t>
        </is>
      </c>
      <c r="M36" s="41" t="inlineStr">
        <is>
          <t>이완구</t>
        </is>
      </c>
      <c r="N36" s="17" t="inlineStr">
        <is>
          <t>부장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10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주현철</t>
        </is>
      </c>
      <c r="N37" s="17" t="inlineStr">
        <is>
          <t>상무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11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문광정</t>
        </is>
      </c>
      <c r="N38" s="17" t="inlineStr">
        <is>
          <t>부장</t>
        </is>
      </c>
    </row>
    <row r="39">
      <c r="A39" s="12" t="n"/>
      <c r="B39" s="12" t="n"/>
      <c r="C39" s="12" t="n"/>
      <c r="D39" s="12" t="n"/>
      <c r="E39" s="12" t="n"/>
      <c r="F39" s="12" t="n"/>
      <c r="I39" s="17" t="n">
        <v>12</v>
      </c>
      <c r="J39" s="17" t="inlineStr">
        <is>
          <t>13층</t>
        </is>
      </c>
      <c r="K39" s="17" t="inlineStr">
        <is>
          <t>사업관리본부</t>
        </is>
      </c>
      <c r="L39" s="17" t="inlineStr">
        <is>
          <t>영업관리실</t>
        </is>
      </c>
      <c r="M39" s="17" t="inlineStr">
        <is>
          <t>이현섭</t>
        </is>
      </c>
      <c r="N39" s="17" t="inlineStr">
        <is>
          <t>주임</t>
        </is>
      </c>
    </row>
    <row r="40" ht="17.25" customHeight="1" s="53">
      <c r="A40" s="12" t="n"/>
      <c r="B40" s="12" t="n"/>
      <c r="C40" s="11" t="n"/>
      <c r="D40" s="12" t="n"/>
      <c r="E40" s="12" t="n"/>
      <c r="F40" s="12" t="n"/>
      <c r="I40" s="22" t="n">
        <v>13</v>
      </c>
      <c r="J40" s="17" t="inlineStr">
        <is>
          <t>11층</t>
        </is>
      </c>
      <c r="K40" s="17" t="inlineStr">
        <is>
          <t>사업관리본부</t>
        </is>
      </c>
      <c r="L40" s="17" t="inlineStr">
        <is>
          <t>영업관리실</t>
        </is>
      </c>
      <c r="M40" s="17" t="inlineStr">
        <is>
          <t>김진규</t>
        </is>
      </c>
      <c r="N40" s="17" t="inlineStr">
        <is>
          <t>대리</t>
        </is>
      </c>
    </row>
    <row r="41" ht="17.25" customHeight="1" s="53" thickBot="1">
      <c r="A41" s="12" t="n"/>
      <c r="B41" s="12" t="n"/>
      <c r="C41" s="12" t="n"/>
      <c r="D41" s="12" t="n"/>
      <c r="E41" s="12" t="n"/>
      <c r="F41" s="12" t="n"/>
      <c r="I41" s="37" t="n">
        <v>14</v>
      </c>
      <c r="J41" s="37" t="inlineStr">
        <is>
          <t>11층</t>
        </is>
      </c>
      <c r="K41" s="37" t="inlineStr">
        <is>
          <t>사업관리본부</t>
        </is>
      </c>
      <c r="L41" s="37" t="inlineStr">
        <is>
          <t>영업관리실</t>
        </is>
      </c>
      <c r="M41" s="37" t="inlineStr">
        <is>
          <t>연지현</t>
        </is>
      </c>
      <c r="N41" s="37" t="inlineStr">
        <is>
          <t>주임</t>
        </is>
      </c>
    </row>
    <row r="42" ht="17.25" customHeight="1" s="53" thickTop="1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  <c r="K50" s="0" t="n"/>
      <c r="L50" s="0" t="n"/>
      <c r="M50" s="0" t="n"/>
      <c r="N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  <c r="K51" s="0" t="n"/>
      <c r="L51" s="0" t="n"/>
      <c r="M51" s="0" t="n"/>
      <c r="N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  <c r="K52" s="0" t="n"/>
      <c r="L52" s="0" t="n"/>
      <c r="M52" s="0" t="n"/>
      <c r="N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  <c r="K53" s="0" t="n"/>
      <c r="L53" s="0" t="n"/>
      <c r="M53" s="0" t="n"/>
      <c r="N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  <c r="K54" s="0" t="n"/>
      <c r="L54" s="0" t="n"/>
      <c r="M54" s="0" t="n"/>
      <c r="N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  <c r="K55" s="0" t="n"/>
      <c r="L55" s="0" t="n"/>
      <c r="M55" s="0" t="n"/>
      <c r="N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  <c r="K56" s="0" t="n"/>
      <c r="L56" s="0" t="n"/>
      <c r="M56" s="0" t="n"/>
      <c r="N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  <c r="K57" s="0" t="n"/>
      <c r="L57" s="0" t="n"/>
      <c r="M57" s="0" t="n"/>
      <c r="N57" s="0" t="n"/>
    </row>
    <row r="58" s="53">
      <c r="A58" s="12" t="n"/>
      <c r="B58" s="12" t="n"/>
      <c r="C58" s="12" t="n"/>
      <c r="D58" s="12" t="n"/>
      <c r="E58" s="12" t="n"/>
      <c r="F58" s="12" t="n"/>
      <c r="H58" s="0" t="n"/>
      <c r="I58" s="0" t="n"/>
      <c r="J58" s="0" t="n"/>
      <c r="K58" s="0" t="n"/>
      <c r="L58" s="0" t="n"/>
      <c r="M58" s="0" t="n"/>
      <c r="N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  <c r="K59" s="0" t="n"/>
      <c r="L59" s="0" t="n"/>
      <c r="M59" s="0" t="n"/>
      <c r="N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  <c r="K60" s="0" t="n"/>
      <c r="L60" s="0" t="n"/>
      <c r="M60" s="0" t="n"/>
      <c r="N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  <c r="K61" s="0" t="n"/>
      <c r="L61" s="0" t="n"/>
      <c r="M61" s="0" t="n"/>
      <c r="N61" s="0" t="n"/>
    </row>
    <row r="62" s="53">
      <c r="A62" s="12" t="n"/>
      <c r="B62" s="12" t="n"/>
      <c r="C62" s="12" t="n"/>
      <c r="D62" s="12" t="n"/>
      <c r="E62" s="46" t="n"/>
      <c r="F62" s="12" t="n"/>
      <c r="H62" s="0" t="n"/>
      <c r="I62" s="0" t="n"/>
      <c r="J62" s="0" t="n"/>
      <c r="K62" s="0" t="n"/>
      <c r="L62" s="0" t="n"/>
      <c r="M62" s="0" t="n"/>
      <c r="N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  <c r="K63" s="0" t="n"/>
      <c r="L63" s="0" t="n"/>
      <c r="M63" s="0" t="n"/>
      <c r="N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  <c r="K64" s="0" t="n"/>
      <c r="L64" s="0" t="n"/>
      <c r="M64" s="0" t="n"/>
      <c r="N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  <c r="K65" s="0" t="n"/>
      <c r="L65" s="0" t="n"/>
      <c r="M65" s="0" t="n"/>
      <c r="N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  <c r="K66" s="0" t="n"/>
      <c r="L66" s="0" t="n"/>
      <c r="M66" s="0" t="n"/>
      <c r="N66" s="0" t="n"/>
    </row>
    <row r="67" s="53">
      <c r="A67" s="12" t="n"/>
      <c r="B67" s="12" t="n"/>
      <c r="C67" s="12" t="n"/>
      <c r="D67" s="12" t="n"/>
      <c r="E67" s="12" t="n"/>
      <c r="F67" s="12" t="n"/>
      <c r="H67" s="0" t="n"/>
      <c r="I67" s="0" t="n"/>
      <c r="J67" s="0" t="n"/>
      <c r="K67" s="0" t="n"/>
      <c r="L67" s="0" t="n"/>
      <c r="M67" s="0" t="n"/>
      <c r="N67" s="0" t="n"/>
    </row>
    <row r="68" s="53">
      <c r="A68" s="61" t="n"/>
      <c r="B68" s="61" t="n"/>
      <c r="C68" s="62" t="n"/>
      <c r="E68" s="63" t="n"/>
      <c r="H68" s="0" t="n"/>
      <c r="I68" s="0" t="n"/>
      <c r="J68" s="0" t="n"/>
      <c r="K68" s="0" t="n"/>
      <c r="L68" s="0" t="n"/>
      <c r="M68" s="0" t="n"/>
      <c r="N68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7"/>
  <sheetViews>
    <sheetView zoomScaleNormal="100" workbookViewId="0">
      <selection activeCell="I9" sqref="I9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9" customWidth="1" style="53" min="9" max="10"/>
    <col width="11.375" customWidth="1" style="53" min="11" max="11"/>
    <col width="12.75" customWidth="1" style="53" min="12" max="12"/>
    <col width="9" customWidth="1" style="53" min="13" max="14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178591+5134+4820+130-4</f>
        <v/>
      </c>
      <c r="E2" s="79" t="n">
        <v>17859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17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이재영</t>
        </is>
      </c>
      <c r="N5" s="17" t="inlineStr">
        <is>
          <t>과장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17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강지혜</t>
        </is>
      </c>
      <c r="N6" s="17" t="inlineStr">
        <is>
          <t>대리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ROUND($E$2/$C$8*C7,0)-1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이경태</t>
        </is>
      </c>
      <c r="N7" s="17" t="inlineStr">
        <is>
          <t>차장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17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최경천</t>
        </is>
      </c>
      <c r="N8" s="17" t="inlineStr">
        <is>
          <t>차장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이재선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226535+6110-9</f>
        <v/>
      </c>
      <c r="E10" s="79" t="n">
        <v>22654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이황</t>
        </is>
      </c>
      <c r="N10" s="17" t="inlineStr">
        <is>
          <t>과장</t>
        </is>
      </c>
    </row>
    <row r="11" ht="17.25" customHeight="1" s="53" thickBot="1">
      <c r="I11" s="37" t="n">
        <v>10</v>
      </c>
      <c r="J11" s="37" t="inlineStr">
        <is>
          <t>13층</t>
        </is>
      </c>
      <c r="K11" s="38" t="n"/>
      <c r="L11" s="37" t="inlineStr">
        <is>
          <t>경영기획실</t>
        </is>
      </c>
      <c r="M11" s="37" t="inlineStr">
        <is>
          <t>강소영</t>
        </is>
      </c>
      <c r="N11" s="37" t="inlineStr">
        <is>
          <t>주임</t>
        </is>
      </c>
    </row>
    <row r="12" ht="17.25" customHeight="1" s="53" thickBot="1" thickTop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22" t="n">
        <v>1</v>
      </c>
      <c r="J12" s="36" t="inlineStr">
        <is>
          <t>6층</t>
        </is>
      </c>
      <c r="K12" s="36" t="inlineStr">
        <is>
          <t>설계본부</t>
        </is>
      </c>
      <c r="L12" s="36" t="inlineStr">
        <is>
          <t>설계본부</t>
        </is>
      </c>
      <c r="M12" s="36" t="inlineStr">
        <is>
          <t>오진택</t>
        </is>
      </c>
      <c r="N12" s="36" t="inlineStr">
        <is>
          <t>전무</t>
        </is>
      </c>
    </row>
    <row r="13" ht="17.25" customHeight="1" s="53">
      <c r="A13" s="80" t="inlineStr">
        <is>
          <t>신사업개발실</t>
        </is>
      </c>
      <c r="B13" s="73" t="inlineStr">
        <is>
          <t>제조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17" t="n">
        <v>2</v>
      </c>
      <c r="J13" s="17" t="inlineStr">
        <is>
          <t>6층</t>
        </is>
      </c>
      <c r="K13" s="17" t="inlineStr">
        <is>
          <t>설계본부</t>
        </is>
      </c>
      <c r="L13" s="17" t="inlineStr">
        <is>
          <t>설계1실</t>
        </is>
      </c>
      <c r="M13" s="17" t="inlineStr">
        <is>
          <t>최우제</t>
        </is>
      </c>
      <c r="N13" s="17" t="inlineStr">
        <is>
          <t>상무</t>
        </is>
      </c>
    </row>
    <row r="14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22" t="n">
        <v>3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설계1실</t>
        </is>
      </c>
      <c r="M14" s="17" t="inlineStr">
        <is>
          <t>김채영</t>
        </is>
      </c>
      <c r="N14" s="17" t="inlineStr">
        <is>
          <t>이사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17" t="n">
        <v>4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김태은</t>
        </is>
      </c>
      <c r="N15" s="17" t="inlineStr">
        <is>
          <t>과장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ROUND($E$10/$C$17*C16,0)-1</f>
        <v/>
      </c>
      <c r="F16" s="76">
        <f>D16+E16</f>
        <v/>
      </c>
      <c r="I16" s="22" t="n">
        <v>5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기재관</t>
        </is>
      </c>
      <c r="N16" s="17" t="inlineStr">
        <is>
          <t>과장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6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김민호</t>
        </is>
      </c>
      <c r="N17" s="17" t="inlineStr">
        <is>
          <t>대리</t>
        </is>
      </c>
    </row>
    <row r="18" ht="17.25" customHeight="1" s="53" thickBot="1">
      <c r="I18" s="22" t="n">
        <v>7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262136+7070</f>
        <v/>
      </c>
      <c r="E19" s="79" t="n">
        <v>26214</v>
      </c>
      <c r="F19" s="66">
        <f>D19+E19</f>
        <v/>
      </c>
      <c r="I19" s="17" t="n">
        <v>8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최수용</t>
        </is>
      </c>
      <c r="N19" s="17" t="inlineStr">
        <is>
          <t>사원</t>
        </is>
      </c>
    </row>
    <row r="20" ht="17.25" customHeight="1" s="53" thickBot="1">
      <c r="I20" s="22" t="n">
        <v>9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조지은</t>
        </is>
      </c>
      <c r="N20" s="17" t="inlineStr">
        <is>
          <t>이사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17" t="n">
        <v>10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ROUND($D$19/$C$25*C22,0)-1</f>
        <v/>
      </c>
      <c r="E22" s="75">
        <f>ROUND($E$19/$C$25*C22,0)+1</f>
        <v/>
      </c>
      <c r="F22" s="76">
        <f>D22+E22</f>
        <v/>
      </c>
      <c r="I22" s="22" t="n">
        <v>11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류승호</t>
        </is>
      </c>
      <c r="N22" s="17" t="inlineStr">
        <is>
          <t>과장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ROUND($D$19/$C$25*C23,0)</f>
        <v/>
      </c>
      <c r="E23" s="75">
        <f>ROUND($E$19/$C$25*C23,0)</f>
        <v/>
      </c>
      <c r="F23" s="76">
        <f>D23+E23</f>
        <v/>
      </c>
      <c r="I23" s="17" t="n">
        <v>12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최수지</t>
        </is>
      </c>
      <c r="N23" s="17" t="inlineStr">
        <is>
          <t>과장</t>
        </is>
      </c>
    </row>
    <row r="24" ht="17.25" customHeight="1" s="53" thickBot="1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ROUND($D$19/$C$25*C24,0)</f>
        <v/>
      </c>
      <c r="E24" s="75">
        <f>ROUND($E$19/$C$25*C24,0)</f>
        <v/>
      </c>
      <c r="F24" s="76">
        <f>D24+E24</f>
        <v/>
      </c>
      <c r="I24" s="22" t="n">
        <v>13</v>
      </c>
      <c r="J24" s="17" t="inlineStr">
        <is>
          <t>6층</t>
        </is>
      </c>
      <c r="K24" s="20" t="inlineStr">
        <is>
          <t>설계본부</t>
        </is>
      </c>
      <c r="L24" s="17" t="inlineStr">
        <is>
          <t>설계2실</t>
        </is>
      </c>
      <c r="M24" s="17" t="inlineStr">
        <is>
          <t>황진욱</t>
        </is>
      </c>
      <c r="N24" s="17" t="inlineStr">
        <is>
          <t>대리</t>
        </is>
      </c>
    </row>
    <row r="25" ht="17.25" customHeight="1" s="53" thickBot="1">
      <c r="A25" s="68" t="inlineStr">
        <is>
          <t>총합</t>
        </is>
      </c>
      <c r="B25" s="69" t="n"/>
      <c r="C25" s="70">
        <f>SUM(C22:C24)</f>
        <v/>
      </c>
      <c r="D25" s="77">
        <f>SUM(D22:D24)</f>
        <v/>
      </c>
      <c r="E25" s="84">
        <f>SUM(E22:E24)</f>
        <v/>
      </c>
      <c r="F25" s="78">
        <f>SUM(F22:F24)</f>
        <v/>
      </c>
      <c r="I25" s="37" t="n">
        <v>14</v>
      </c>
      <c r="J25" s="37" t="inlineStr">
        <is>
          <t>6층</t>
        </is>
      </c>
      <c r="K25" s="37" t="inlineStr">
        <is>
          <t>설계본부</t>
        </is>
      </c>
      <c r="L25" s="37" t="inlineStr">
        <is>
          <t>설계2실</t>
        </is>
      </c>
      <c r="M25" s="37" t="inlineStr">
        <is>
          <t>오한솔</t>
        </is>
      </c>
      <c r="N25" s="37" t="inlineStr">
        <is>
          <t>주임</t>
        </is>
      </c>
    </row>
    <row r="26" ht="18" customHeight="1" s="53">
      <c r="E26" s="0" t="n"/>
      <c r="I26" s="22" t="n">
        <v>1</v>
      </c>
      <c r="J26" s="22" t="inlineStr">
        <is>
          <t>11층</t>
        </is>
      </c>
      <c r="K26" s="39" t="inlineStr">
        <is>
          <t>설계본부</t>
        </is>
      </c>
      <c r="L26" s="22" t="inlineStr">
        <is>
          <t>신사업개발실</t>
        </is>
      </c>
      <c r="M26" s="22" t="inlineStr">
        <is>
          <t>최진달미</t>
        </is>
      </c>
      <c r="N26" s="22" t="inlineStr">
        <is>
          <t>전무</t>
        </is>
      </c>
    </row>
    <row r="27">
      <c r="I27" s="17" t="n">
        <v>2</v>
      </c>
      <c r="J27" s="17" t="inlineStr">
        <is>
          <t>11층</t>
        </is>
      </c>
      <c r="K27" s="20" t="inlineStr">
        <is>
          <t>설계본부</t>
        </is>
      </c>
      <c r="L27" s="17" t="inlineStr">
        <is>
          <t>신사업개발실</t>
        </is>
      </c>
      <c r="M27" s="17" t="inlineStr">
        <is>
          <t>박종철</t>
        </is>
      </c>
      <c r="N27" s="17" t="inlineStr">
        <is>
          <t>이사</t>
        </is>
      </c>
    </row>
    <row r="28">
      <c r="I28" s="22" t="n">
        <v>3</v>
      </c>
      <c r="J28" s="17" t="inlineStr">
        <is>
          <t>11층</t>
        </is>
      </c>
      <c r="K28" s="17" t="inlineStr">
        <is>
          <t>설계본부</t>
        </is>
      </c>
      <c r="L28" s="17" t="inlineStr">
        <is>
          <t>신사업개발실</t>
        </is>
      </c>
      <c r="M28" s="17" t="inlineStr">
        <is>
          <t>이정진</t>
        </is>
      </c>
      <c r="N28" s="17" t="inlineStr">
        <is>
          <t>부장</t>
        </is>
      </c>
    </row>
    <row r="29">
      <c r="A29" s="47" t="n"/>
      <c r="B29" s="47" t="n"/>
      <c r="C29" s="47" t="n"/>
      <c r="D29" s="47" t="n"/>
      <c r="E29" s="47" t="n"/>
      <c r="F29" s="47" t="n"/>
      <c r="I29" s="17" t="n">
        <v>4</v>
      </c>
      <c r="J29" s="22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22" t="inlineStr">
        <is>
          <t>김순성</t>
        </is>
      </c>
      <c r="N29" s="22" t="inlineStr">
        <is>
          <t>고문</t>
        </is>
      </c>
    </row>
    <row r="30">
      <c r="A30" s="12" t="n"/>
      <c r="B30" s="12" t="n"/>
      <c r="C30" s="12" t="n"/>
      <c r="D30" s="12" t="n"/>
      <c r="E30" s="12" t="n"/>
      <c r="F30" s="12" t="n"/>
      <c r="I30" s="22" t="n">
        <v>5</v>
      </c>
      <c r="J30" s="36" t="inlineStr">
        <is>
          <t>11층</t>
        </is>
      </c>
      <c r="K30" s="36" t="inlineStr">
        <is>
          <t>사업관리본부</t>
        </is>
      </c>
      <c r="L30" s="36" t="inlineStr">
        <is>
          <t>사업관리본부</t>
        </is>
      </c>
      <c r="M30" s="36" t="inlineStr">
        <is>
          <t>김동우</t>
        </is>
      </c>
      <c r="N30" s="36" t="inlineStr">
        <is>
          <t>전무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6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이성규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7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이강호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8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김동규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9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이완구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10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주현철</t>
        </is>
      </c>
      <c r="N35" s="17" t="inlineStr">
        <is>
          <t>상무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11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12</v>
      </c>
      <c r="J37" s="17" t="inlineStr">
        <is>
          <t>13층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이현섭</t>
        </is>
      </c>
      <c r="N37" s="17" t="inlineStr">
        <is>
          <t>주임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13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김진규</t>
        </is>
      </c>
      <c r="N38" s="17" t="inlineStr">
        <is>
          <t>대리</t>
        </is>
      </c>
    </row>
    <row r="39" ht="17.25" customHeight="1" s="53" thickBot="1">
      <c r="A39" s="12" t="n"/>
      <c r="B39" s="12" t="n"/>
      <c r="C39" s="11" t="n"/>
      <c r="D39" s="12" t="n"/>
      <c r="E39" s="12" t="n"/>
      <c r="F39" s="12" t="n"/>
      <c r="I39" s="37" t="n">
        <v>14</v>
      </c>
      <c r="J39" s="37" t="inlineStr">
        <is>
          <t>11층</t>
        </is>
      </c>
      <c r="K39" s="37" t="inlineStr">
        <is>
          <t>사업관리본부</t>
        </is>
      </c>
      <c r="L39" s="37" t="inlineStr">
        <is>
          <t>영업관리실</t>
        </is>
      </c>
      <c r="M39" s="37" t="inlineStr">
        <is>
          <t>연지현</t>
        </is>
      </c>
      <c r="N39" s="37" t="inlineStr">
        <is>
          <t>주임</t>
        </is>
      </c>
    </row>
    <row r="40" ht="17.25" customHeight="1" s="53" thickTop="1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 s="53">
      <c r="A49" s="12" t="n"/>
      <c r="B49" s="12" t="n"/>
      <c r="C49" s="12" t="n"/>
      <c r="D49" s="12" t="n"/>
      <c r="E49" s="12" t="n"/>
      <c r="F49" s="12" t="n"/>
      <c r="H49" s="0" t="n"/>
      <c r="I49" s="0" t="n"/>
      <c r="J49" s="0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</row>
    <row r="58" s="53">
      <c r="A58" s="12" t="n"/>
      <c r="B58" s="12" t="n"/>
      <c r="C58" s="12" t="n"/>
      <c r="D58" s="12" t="n"/>
      <c r="E58" s="46" t="n"/>
      <c r="F58" s="12" t="n"/>
      <c r="H58" s="0" t="n"/>
      <c r="I58" s="0" t="n"/>
      <c r="J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</row>
    <row r="62" s="53">
      <c r="A62" s="12" t="n"/>
      <c r="B62" s="12" t="n"/>
      <c r="C62" s="12" t="n"/>
      <c r="D62" s="12" t="n"/>
      <c r="E62" s="12" t="n"/>
      <c r="F62" s="12" t="n"/>
      <c r="H62" s="0" t="n"/>
      <c r="I62" s="0" t="n"/>
      <c r="J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</row>
    <row r="67" s="53">
      <c r="A67" s="61" t="n"/>
      <c r="B67" s="61" t="n"/>
      <c r="C67" s="62" t="n"/>
      <c r="E67" s="63" t="n"/>
      <c r="H67" s="0" t="n"/>
      <c r="I67" s="0" t="n"/>
      <c r="J67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7"/>
  <sheetViews>
    <sheetView zoomScale="115" zoomScaleNormal="115" workbookViewId="0">
      <selection activeCell="I1" sqref="I1:N1048576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hidden="1" width="13" customWidth="1" style="53" min="9" max="10"/>
    <col hidden="1" width="11.375" customWidth="1" style="53" min="11" max="11"/>
    <col hidden="1" width="12.75" customWidth="1" style="53" min="12" max="12"/>
    <col hidden="1" width="13" customWidth="1" style="53" min="13" max="14"/>
  </cols>
  <sheetData>
    <row r="1" ht="17.25" customHeight="1" s="53" thickBot="1">
      <c r="E1" s="42" t="n">
        <v>385770</v>
      </c>
      <c r="F1" s="85" t="inlineStr">
        <is>
          <t>미납전기료(예다여성의원)</t>
        </is>
      </c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186271+5020-8</f>
        <v/>
      </c>
      <c r="E2" s="79" t="n">
        <v>18627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17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ROUND($D$2/$C$9*C5,0)</f>
        <v/>
      </c>
      <c r="E5" s="75">
        <f>ROUND($E$2/$C$9*C5,0)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이재영</t>
        </is>
      </c>
      <c r="N5" s="17" t="inlineStr">
        <is>
          <t>과장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ROUND($D$2/$C$9*C6,0)</f>
        <v/>
      </c>
      <c r="E6" s="75">
        <f>ROUND($E$2/$C$9*C6,0)</f>
        <v/>
      </c>
      <c r="F6" s="76">
        <f>D6+E6</f>
        <v/>
      </c>
      <c r="I6" s="17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강지혜</t>
        </is>
      </c>
      <c r="N6" s="17" t="inlineStr">
        <is>
          <t>대리</t>
        </is>
      </c>
    </row>
    <row r="7">
      <c r="A7" s="86" t="n"/>
      <c r="B7" s="87" t="n"/>
      <c r="C7" s="88" t="n"/>
      <c r="D7" s="89" t="n"/>
      <c r="E7" s="89" t="n"/>
      <c r="F7" s="90" t="n"/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이경태</t>
        </is>
      </c>
      <c r="N7" s="17" t="inlineStr">
        <is>
          <t>차장</t>
        </is>
      </c>
    </row>
    <row r="8" ht="17.25" customHeight="1" s="53" thickBot="1">
      <c r="A8" s="80" t="inlineStr">
        <is>
          <t>설계본부</t>
        </is>
      </c>
      <c r="B8" s="73" t="inlineStr">
        <is>
          <t>제조</t>
        </is>
      </c>
      <c r="C8" s="74">
        <f>COUNTIF(L:L,"설계본부")</f>
        <v/>
      </c>
      <c r="D8" s="75">
        <f>ROUND($D$2/$C$9*C8,0)</f>
        <v/>
      </c>
      <c r="E8" s="75">
        <f>ROUND($E$2/$C$9*C8,0)</f>
        <v/>
      </c>
      <c r="F8" s="76">
        <f>D8+E8</f>
        <v/>
      </c>
      <c r="I8" s="17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최경천</t>
        </is>
      </c>
      <c r="N8" s="17" t="inlineStr">
        <is>
          <t>차장</t>
        </is>
      </c>
    </row>
    <row r="9" ht="17.25" customHeight="1" s="53" thickBot="1">
      <c r="A9" s="68" t="inlineStr">
        <is>
          <t>총합</t>
        </is>
      </c>
      <c r="B9" s="69" t="n"/>
      <c r="C9" s="70">
        <f>SUM(C5:C8)</f>
        <v/>
      </c>
      <c r="D9" s="77">
        <f>SUM(D5:D8)</f>
        <v/>
      </c>
      <c r="E9" s="77">
        <f>SUM(E5:E8)</f>
        <v/>
      </c>
      <c r="F9" s="78">
        <f>SUM(F5:F8)</f>
        <v/>
      </c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이재선</t>
        </is>
      </c>
      <c r="N9" s="17" t="inlineStr">
        <is>
          <t>차장</t>
        </is>
      </c>
    </row>
    <row r="10" ht="17.25" customHeight="1" s="53" thickBot="1">
      <c r="D10" s="81" t="n"/>
      <c r="F10" s="82" t="n"/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이황</t>
        </is>
      </c>
      <c r="N10" s="17" t="inlineStr">
        <is>
          <t>과장</t>
        </is>
      </c>
    </row>
    <row r="11" ht="17.25" customHeight="1" s="53" thickBot="1">
      <c r="A11" s="64" t="inlineStr">
        <is>
          <t>전기료 총액(11층)</t>
        </is>
      </c>
      <c r="B11" s="55" t="n"/>
      <c r="C11" s="56" t="n"/>
      <c r="D11" s="79">
        <f>298043+8040-7</f>
        <v/>
      </c>
      <c r="E11" s="79" t="n">
        <v>29804</v>
      </c>
      <c r="F11" s="66">
        <f>D11+E11</f>
        <v/>
      </c>
      <c r="I11" s="37" t="n">
        <v>10</v>
      </c>
      <c r="J11" s="37" t="inlineStr">
        <is>
          <t>13층</t>
        </is>
      </c>
      <c r="K11" s="38" t="n"/>
      <c r="L11" s="37" t="inlineStr">
        <is>
          <t>경영기획실</t>
        </is>
      </c>
      <c r="M11" s="37" t="inlineStr">
        <is>
          <t>강소영</t>
        </is>
      </c>
      <c r="N11" s="37" t="inlineStr">
        <is>
          <t>주임</t>
        </is>
      </c>
    </row>
    <row r="12" ht="17.25" customHeight="1" s="53" thickBot="1">
      <c r="I12" s="22" t="n">
        <v>1</v>
      </c>
      <c r="J12" s="36" t="inlineStr">
        <is>
          <t>6층</t>
        </is>
      </c>
      <c r="K12" s="36" t="inlineStr">
        <is>
          <t>설계본부</t>
        </is>
      </c>
      <c r="L12" s="36" t="inlineStr">
        <is>
          <t>설계본부</t>
        </is>
      </c>
      <c r="M12" s="36" t="inlineStr">
        <is>
          <t>오진택</t>
        </is>
      </c>
      <c r="N12" s="36" t="inlineStr">
        <is>
          <t>전무</t>
        </is>
      </c>
    </row>
    <row r="13" ht="17.25" customHeight="1" s="53" thickBot="1">
      <c r="A13" s="68" t="inlineStr">
        <is>
          <t>부서</t>
        </is>
      </c>
      <c r="B13" s="69" t="inlineStr">
        <is>
          <t>계정</t>
        </is>
      </c>
      <c r="C13" s="70" t="inlineStr">
        <is>
          <t>인원</t>
        </is>
      </c>
      <c r="D13" s="28" t="inlineStr">
        <is>
          <t>공급가</t>
        </is>
      </c>
      <c r="E13" s="71" t="inlineStr">
        <is>
          <t>부가세</t>
        </is>
      </c>
      <c r="F13" s="30" t="inlineStr">
        <is>
          <t>합계</t>
        </is>
      </c>
      <c r="I13" s="17" t="n">
        <v>2</v>
      </c>
      <c r="J13" s="17" t="inlineStr">
        <is>
          <t>6층</t>
        </is>
      </c>
      <c r="K13" s="17" t="inlineStr">
        <is>
          <t>설계본부</t>
        </is>
      </c>
      <c r="L13" s="17" t="inlineStr">
        <is>
          <t>설계1실</t>
        </is>
      </c>
      <c r="M13" s="17" t="inlineStr">
        <is>
          <t>최우제</t>
        </is>
      </c>
      <c r="N13" s="17" t="inlineStr">
        <is>
          <t>상무</t>
        </is>
      </c>
    </row>
    <row r="14">
      <c r="A14" s="80" t="inlineStr">
        <is>
          <t>신사업개발실</t>
        </is>
      </c>
      <c r="B14" s="73" t="inlineStr">
        <is>
          <t>제조</t>
        </is>
      </c>
      <c r="C14" s="74">
        <f>COUNTIF(L:L,"신사업개발실")</f>
        <v/>
      </c>
      <c r="D14" s="75">
        <f>ROUND($D$11/$C$18*C14,0)</f>
        <v/>
      </c>
      <c r="E14" s="75">
        <f>ROUND($E$11/$C$18*C14,0)</f>
        <v/>
      </c>
      <c r="F14" s="76">
        <f>D14+E14</f>
        <v/>
      </c>
      <c r="I14" s="22" t="n">
        <v>3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설계2실</t>
        </is>
      </c>
      <c r="M14" s="17" t="inlineStr">
        <is>
          <t>김채영</t>
        </is>
      </c>
      <c r="N14" s="17" t="inlineStr">
        <is>
          <t>이사</t>
        </is>
      </c>
    </row>
    <row r="15">
      <c r="A15" s="80" t="inlineStr">
        <is>
          <t>영업관리실</t>
        </is>
      </c>
      <c r="B15" s="83" t="inlineStr">
        <is>
          <t>판관</t>
        </is>
      </c>
      <c r="C15" s="74">
        <f>COUNTIF(L:L,"영업관리실")</f>
        <v/>
      </c>
      <c r="D15" s="75">
        <f>ROUND($D$11/$C$18*C15,0)</f>
        <v/>
      </c>
      <c r="E15" s="75">
        <f>ROUND($E$11/$C$18*C15,0)</f>
        <v/>
      </c>
      <c r="F15" s="76">
        <f>D15+E15</f>
        <v/>
      </c>
      <c r="I15" s="17" t="n">
        <v>4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김태은</t>
        </is>
      </c>
      <c r="N15" s="17" t="inlineStr">
        <is>
          <t>과장</t>
        </is>
      </c>
    </row>
    <row r="16">
      <c r="A16" s="80" t="inlineStr">
        <is>
          <t>사업관리실</t>
        </is>
      </c>
      <c r="B16" s="83" t="inlineStr">
        <is>
          <t>판관</t>
        </is>
      </c>
      <c r="C16" s="74">
        <f>COUNTIF(L:L,"사업관리실")</f>
        <v/>
      </c>
      <c r="D16" s="75">
        <f>ROUND($D$11/$C$18*C16,0)</f>
        <v/>
      </c>
      <c r="E16" s="75">
        <f>ROUND($E$11/$C$18*C16,0)</f>
        <v/>
      </c>
      <c r="F16" s="76">
        <f>D16+E16</f>
        <v/>
      </c>
      <c r="I16" s="22" t="n">
        <v>5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기재관</t>
        </is>
      </c>
      <c r="N16" s="17" t="inlineStr">
        <is>
          <t>과장</t>
        </is>
      </c>
    </row>
    <row r="17" ht="17.25" customHeight="1" s="53" thickBot="1">
      <c r="A17" s="80" t="inlineStr">
        <is>
          <t>사업관리본부</t>
        </is>
      </c>
      <c r="B17" s="83" t="inlineStr">
        <is>
          <t>판관</t>
        </is>
      </c>
      <c r="C17" s="74">
        <f>COUNTIF(L:L,"사업관리본부")</f>
        <v/>
      </c>
      <c r="D17" s="75">
        <f>ROUND($D$11/$C$18*C17,0)</f>
        <v/>
      </c>
      <c r="E17" s="75" t="n">
        <v>2130</v>
      </c>
      <c r="F17" s="76">
        <f>D17+E17</f>
        <v/>
      </c>
      <c r="I17" s="17" t="n">
        <v>6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이수영</t>
        </is>
      </c>
      <c r="N17" s="17" t="inlineStr">
        <is>
          <t>주임</t>
        </is>
      </c>
    </row>
    <row r="18" ht="17.25" customHeight="1" s="53" thickBot="1">
      <c r="A18" s="68" t="inlineStr">
        <is>
          <t>총합</t>
        </is>
      </c>
      <c r="B18" s="69" t="n"/>
      <c r="C18" s="70">
        <f>SUM(C14:C17)</f>
        <v/>
      </c>
      <c r="D18" s="77">
        <f>SUM(D14:D17)</f>
        <v/>
      </c>
      <c r="E18" s="77">
        <f>SUM(E14:E17)</f>
        <v/>
      </c>
      <c r="F18" s="78">
        <f>SUM(F14:F17)</f>
        <v/>
      </c>
      <c r="I18" s="22" t="n">
        <v>7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최수용</t>
        </is>
      </c>
      <c r="N18" s="17" t="inlineStr">
        <is>
          <t>사원</t>
        </is>
      </c>
    </row>
    <row r="19" ht="17.25" customHeight="1" s="53" thickBot="1">
      <c r="I19" s="17" t="n">
        <v>8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설계2실</t>
        </is>
      </c>
      <c r="M19" s="17" t="inlineStr">
        <is>
          <t>조지은</t>
        </is>
      </c>
      <c r="N19" s="17" t="inlineStr">
        <is>
          <t>이사</t>
        </is>
      </c>
    </row>
    <row r="20" ht="17.25" customHeight="1" s="53" thickBot="1">
      <c r="A20" s="64" t="inlineStr">
        <is>
          <t>전기료 총액(13층)</t>
        </is>
      </c>
      <c r="B20" s="55" t="n"/>
      <c r="C20" s="56" t="n"/>
      <c r="D20" s="79">
        <f>310393+8380-2</f>
        <v/>
      </c>
      <c r="E20" s="79" t="n">
        <v>31039</v>
      </c>
      <c r="F20" s="66">
        <f>D20+E20</f>
        <v/>
      </c>
      <c r="I20" s="22" t="n">
        <v>9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이예솔</t>
        </is>
      </c>
      <c r="N20" s="17" t="inlineStr">
        <is>
          <t>과장</t>
        </is>
      </c>
    </row>
    <row r="21" ht="17.25" customHeight="1" s="53" thickBot="1">
      <c r="I21" s="17" t="n">
        <v>10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류승호</t>
        </is>
      </c>
      <c r="N21" s="17" t="inlineStr">
        <is>
          <t>과장</t>
        </is>
      </c>
    </row>
    <row r="22" ht="17.25" customHeight="1" s="53" thickBot="1">
      <c r="A22" s="68" t="inlineStr">
        <is>
          <t>부서</t>
        </is>
      </c>
      <c r="B22" s="69" t="inlineStr">
        <is>
          <t>계정</t>
        </is>
      </c>
      <c r="C22" s="70" t="inlineStr">
        <is>
          <t>인원</t>
        </is>
      </c>
      <c r="D22" s="28" t="inlineStr">
        <is>
          <t>공급가</t>
        </is>
      </c>
      <c r="E22" s="71" t="inlineStr">
        <is>
          <t>부가세</t>
        </is>
      </c>
      <c r="F22" s="30" t="inlineStr">
        <is>
          <t>합계</t>
        </is>
      </c>
      <c r="I22" s="22" t="n">
        <v>11</v>
      </c>
      <c r="J22" s="17" t="inlineStr">
        <is>
          <t>6층</t>
        </is>
      </c>
      <c r="K22" s="20" t="inlineStr">
        <is>
          <t>설계본부</t>
        </is>
      </c>
      <c r="L22" s="17" t="inlineStr">
        <is>
          <t>설계2실</t>
        </is>
      </c>
      <c r="M22" s="17" t="inlineStr">
        <is>
          <t>황진욱</t>
        </is>
      </c>
      <c r="N22" s="17" t="inlineStr">
        <is>
          <t>대리</t>
        </is>
      </c>
    </row>
    <row r="23">
      <c r="A23" s="72" t="inlineStr">
        <is>
          <t>경영기획실</t>
        </is>
      </c>
      <c r="B23" s="83" t="inlineStr">
        <is>
          <t>판관</t>
        </is>
      </c>
      <c r="C23" s="74">
        <f>COUNTIF(L:L,"경영기획실")</f>
        <v/>
      </c>
      <c r="D23" s="75">
        <f>ROUND($D$20/$C$26*C23,0)</f>
        <v/>
      </c>
      <c r="E23" s="75" t="n">
        <v>24831</v>
      </c>
      <c r="F23" s="76">
        <f>D23+E23</f>
        <v/>
      </c>
      <c r="I23" s="17" t="n">
        <v>12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오한솔</t>
        </is>
      </c>
      <c r="N23" s="17" t="inlineStr">
        <is>
          <t>주임</t>
        </is>
      </c>
    </row>
    <row r="24" ht="17.25" customHeight="1" s="53" thickBot="1">
      <c r="A24" s="80" t="inlineStr">
        <is>
          <t>감사역</t>
        </is>
      </c>
      <c r="B24" s="83" t="inlineStr">
        <is>
          <t>판관</t>
        </is>
      </c>
      <c r="C24" s="74">
        <f>COUNTIF(L:L,"감사역")</f>
        <v/>
      </c>
      <c r="D24" s="75">
        <f>ROUND($D$20/$C$26*C24,0)</f>
        <v/>
      </c>
      <c r="E24" s="75" t="n">
        <v>3104</v>
      </c>
      <c r="F24" s="76">
        <f>D24+E24</f>
        <v/>
      </c>
      <c r="I24" s="37" t="n">
        <v>13</v>
      </c>
      <c r="J24" s="40" t="inlineStr">
        <is>
          <t>6층</t>
        </is>
      </c>
      <c r="K24" s="40" t="inlineStr">
        <is>
          <t>설계본부</t>
        </is>
      </c>
      <c r="L24" s="40" t="inlineStr">
        <is>
          <t>구조설계실</t>
        </is>
      </c>
      <c r="M24" s="40" t="inlineStr">
        <is>
          <t>김용남</t>
        </is>
      </c>
      <c r="N24" s="40" t="inlineStr">
        <is>
          <t>전무</t>
        </is>
      </c>
    </row>
    <row r="25" ht="18" customHeight="1" s="53" thickBot="1" thickTop="1">
      <c r="A25" s="80" t="inlineStr">
        <is>
          <t>R&amp;D본부</t>
        </is>
      </c>
      <c r="B25" s="73" t="inlineStr">
        <is>
          <t>연구</t>
        </is>
      </c>
      <c r="C25" s="74">
        <f>COUNTIF(L:L,"R&amp;D본부")</f>
        <v/>
      </c>
      <c r="D25" s="75">
        <f>ROUND($D$20/$C$26*C25,0)</f>
        <v/>
      </c>
      <c r="E25" s="75" t="n">
        <v>3104</v>
      </c>
      <c r="F25" s="76">
        <f>D25+E25</f>
        <v/>
      </c>
      <c r="I25" s="22" t="n">
        <v>1</v>
      </c>
      <c r="J25" s="22" t="inlineStr">
        <is>
          <t>11층</t>
        </is>
      </c>
      <c r="K25" s="39" t="inlineStr">
        <is>
          <t>설계본부</t>
        </is>
      </c>
      <c r="L25" s="22" t="inlineStr">
        <is>
          <t>신사업개발실</t>
        </is>
      </c>
      <c r="M25" s="22" t="inlineStr">
        <is>
          <t>최진달미</t>
        </is>
      </c>
      <c r="N25" s="22" t="inlineStr">
        <is>
          <t>전무</t>
        </is>
      </c>
    </row>
    <row r="26" ht="17.25" customHeight="1" s="53" thickBot="1">
      <c r="A26" s="68" t="inlineStr">
        <is>
          <t>총합</t>
        </is>
      </c>
      <c r="B26" s="69" t="n"/>
      <c r="C26" s="70">
        <f>SUM(C23:C25)</f>
        <v/>
      </c>
      <c r="D26" s="77">
        <f>SUM(D23:D25)</f>
        <v/>
      </c>
      <c r="E26" s="84">
        <f>SUM(E23:E25)</f>
        <v/>
      </c>
      <c r="F26" s="78">
        <f>SUM(F23:F25)</f>
        <v/>
      </c>
      <c r="I26" s="17" t="n">
        <v>2</v>
      </c>
      <c r="J26" s="17" t="inlineStr">
        <is>
          <t>11층</t>
        </is>
      </c>
      <c r="K26" s="20" t="inlineStr">
        <is>
          <t>설계본부</t>
        </is>
      </c>
      <c r="L26" s="17" t="inlineStr">
        <is>
          <t>신사업개발실</t>
        </is>
      </c>
      <c r="M26" s="17" t="inlineStr">
        <is>
          <t>박종철</t>
        </is>
      </c>
      <c r="N26" s="17" t="inlineStr">
        <is>
          <t>이사</t>
        </is>
      </c>
    </row>
    <row r="27">
      <c r="E27" s="0" t="n"/>
      <c r="I27" s="22" t="n">
        <v>3</v>
      </c>
      <c r="J27" s="17" t="inlineStr">
        <is>
          <t>11층</t>
        </is>
      </c>
      <c r="K27" s="17" t="inlineStr">
        <is>
          <t>설계본부</t>
        </is>
      </c>
      <c r="L27" s="17" t="inlineStr">
        <is>
          <t>신사업개발실</t>
        </is>
      </c>
      <c r="M27" s="17" t="inlineStr">
        <is>
          <t>이정진</t>
        </is>
      </c>
      <c r="N27" s="17" t="inlineStr">
        <is>
          <t>부장</t>
        </is>
      </c>
    </row>
    <row r="28">
      <c r="I28" s="17" t="n">
        <v>4</v>
      </c>
      <c r="J28" s="22" t="inlineStr">
        <is>
          <t>11층</t>
        </is>
      </c>
      <c r="K28" s="20" t="inlineStr">
        <is>
          <t>설계본부</t>
        </is>
      </c>
      <c r="L28" s="17" t="inlineStr">
        <is>
          <t>신사업개발실</t>
        </is>
      </c>
      <c r="M28" s="22" t="inlineStr">
        <is>
          <t>김순성</t>
        </is>
      </c>
      <c r="N28" s="22" t="inlineStr">
        <is>
          <t>고문</t>
        </is>
      </c>
    </row>
    <row r="29">
      <c r="I29" s="22" t="n">
        <v>5</v>
      </c>
      <c r="J29" s="36" t="inlineStr">
        <is>
          <t>11층</t>
        </is>
      </c>
      <c r="K29" s="36" t="inlineStr">
        <is>
          <t>사업관리본부</t>
        </is>
      </c>
      <c r="L29" s="36" t="inlineStr">
        <is>
          <t>사업관리본부</t>
        </is>
      </c>
      <c r="M29" s="36" t="inlineStr">
        <is>
          <t>김동우</t>
        </is>
      </c>
      <c r="N29" s="36" t="inlineStr">
        <is>
          <t>전무</t>
        </is>
      </c>
    </row>
    <row r="30">
      <c r="A30" s="47" t="n"/>
      <c r="B30" s="47" t="n"/>
      <c r="C30" s="47" t="n"/>
      <c r="D30" s="47" t="n"/>
      <c r="E30" s="47" t="n"/>
      <c r="F30" s="47" t="n"/>
      <c r="I30" s="17" t="n">
        <v>6</v>
      </c>
      <c r="J30" s="17" t="inlineStr">
        <is>
          <t>11층</t>
        </is>
      </c>
      <c r="K30" s="17" t="inlineStr">
        <is>
          <t>사업관리본부</t>
        </is>
      </c>
      <c r="L30" s="17" t="inlineStr">
        <is>
          <t>사업관리실</t>
        </is>
      </c>
      <c r="M30" s="41" t="inlineStr">
        <is>
          <t>이성규</t>
        </is>
      </c>
      <c r="N30" s="17" t="inlineStr">
        <is>
          <t>차장</t>
        </is>
      </c>
    </row>
    <row r="31">
      <c r="A31" s="12" t="n"/>
      <c r="B31" s="12" t="n"/>
      <c r="C31" s="12" t="n"/>
      <c r="D31" s="12" t="n"/>
      <c r="E31" s="12" t="n"/>
      <c r="F31" s="12" t="n"/>
      <c r="I31" s="22" t="n">
        <v>7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이강호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17" t="n">
        <v>8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김동규</t>
        </is>
      </c>
      <c r="N32" s="17" t="inlineStr">
        <is>
          <t>부장</t>
        </is>
      </c>
    </row>
    <row r="33">
      <c r="A33" s="12" t="n"/>
      <c r="B33" s="12" t="n"/>
      <c r="C33" s="12" t="n"/>
      <c r="D33" s="12" t="n"/>
      <c r="E33" s="12" t="n"/>
      <c r="F33" s="12" t="n"/>
      <c r="I33" s="22" t="n">
        <v>9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이완구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17" t="n">
        <v>10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영업관리실</t>
        </is>
      </c>
      <c r="M34" s="17" t="inlineStr">
        <is>
          <t>주현철</t>
        </is>
      </c>
      <c r="N34" s="17" t="inlineStr">
        <is>
          <t>상무</t>
        </is>
      </c>
    </row>
    <row r="35">
      <c r="A35" s="12" t="n"/>
      <c r="B35" s="12" t="n"/>
      <c r="C35" s="12" t="n"/>
      <c r="D35" s="12" t="n"/>
      <c r="E35" s="12" t="n"/>
      <c r="F35" s="12" t="n"/>
      <c r="I35" s="22" t="n">
        <v>11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문광정</t>
        </is>
      </c>
      <c r="N35" s="17" t="inlineStr">
        <is>
          <t>부장</t>
        </is>
      </c>
    </row>
    <row r="36">
      <c r="A36" s="12" t="n"/>
      <c r="B36" s="12" t="n"/>
      <c r="C36" s="12" t="n"/>
      <c r="D36" s="12" t="n"/>
      <c r="E36" s="12" t="n"/>
      <c r="F36" s="12" t="n"/>
      <c r="I36" s="17" t="n">
        <v>12</v>
      </c>
      <c r="J36" s="17" t="inlineStr">
        <is>
          <t>13층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이현섭</t>
        </is>
      </c>
      <c r="N36" s="17" t="inlineStr">
        <is>
          <t>주임</t>
        </is>
      </c>
    </row>
    <row r="37">
      <c r="A37" s="12" t="n"/>
      <c r="B37" s="12" t="n"/>
      <c r="C37" s="12" t="n"/>
      <c r="D37" s="12" t="n"/>
      <c r="E37" s="12" t="n"/>
      <c r="F37" s="12" t="n"/>
      <c r="I37" s="22" t="n">
        <v>13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김진규</t>
        </is>
      </c>
      <c r="N37" s="17" t="inlineStr">
        <is>
          <t>대리</t>
        </is>
      </c>
    </row>
    <row r="38" ht="17.25" customHeight="1" s="53" thickBot="1">
      <c r="A38" s="12" t="n"/>
      <c r="B38" s="12" t="n"/>
      <c r="C38" s="12" t="n"/>
      <c r="D38" s="12" t="n"/>
      <c r="E38" s="12" t="n"/>
      <c r="F38" s="12" t="n"/>
      <c r="I38" s="37" t="n">
        <v>14</v>
      </c>
      <c r="J38" s="37" t="inlineStr">
        <is>
          <t>11층</t>
        </is>
      </c>
      <c r="K38" s="37" t="inlineStr">
        <is>
          <t>사업관리본부</t>
        </is>
      </c>
      <c r="L38" s="37" t="inlineStr">
        <is>
          <t>영업관리실</t>
        </is>
      </c>
      <c r="M38" s="37" t="inlineStr">
        <is>
          <t>연지현</t>
        </is>
      </c>
      <c r="N38" s="37" t="inlineStr">
        <is>
          <t>주임</t>
        </is>
      </c>
    </row>
    <row r="39" ht="17.25" customHeight="1" s="53" thickTop="1">
      <c r="A39" s="12" t="n"/>
      <c r="B39" s="12" t="n"/>
      <c r="C39" s="12" t="n"/>
      <c r="D39" s="12" t="n"/>
      <c r="E39" s="12" t="n"/>
      <c r="F39" s="12" t="n"/>
    </row>
    <row r="40">
      <c r="A40" s="12" t="n"/>
      <c r="B40" s="12" t="n"/>
      <c r="C40" s="11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</row>
    <row r="51">
      <c r="A51" s="12" t="n"/>
      <c r="B51" s="12" t="n"/>
      <c r="C51" s="12" t="n"/>
      <c r="D51" s="12" t="n"/>
      <c r="E51" s="12" t="n"/>
      <c r="F51" s="12" t="n"/>
    </row>
    <row r="52">
      <c r="A52" s="12" t="n"/>
      <c r="B52" s="12" t="n"/>
      <c r="C52" s="12" t="n"/>
      <c r="D52" s="12" t="n"/>
      <c r="E52" s="12" t="n"/>
      <c r="F52" s="12" t="n"/>
    </row>
    <row r="53">
      <c r="A53" s="12" t="n"/>
      <c r="B53" s="12" t="n"/>
      <c r="C53" s="12" t="n"/>
      <c r="D53" s="12" t="n"/>
      <c r="E53" s="12" t="n"/>
      <c r="F53" s="12" t="n"/>
    </row>
    <row r="54">
      <c r="A54" s="12" t="n"/>
      <c r="B54" s="12" t="n"/>
      <c r="C54" s="12" t="n"/>
      <c r="D54" s="12" t="n"/>
      <c r="E54" s="12" t="n"/>
      <c r="F54" s="12" t="n"/>
    </row>
    <row r="55">
      <c r="A55" s="12" t="n"/>
      <c r="B55" s="12" t="n"/>
      <c r="C55" s="12" t="n"/>
      <c r="D55" s="12" t="n"/>
      <c r="E55" s="12" t="n"/>
      <c r="F55" s="12" t="n"/>
    </row>
    <row r="56">
      <c r="A56" s="12" t="n"/>
      <c r="B56" s="12" t="n"/>
      <c r="C56" s="12" t="n"/>
      <c r="D56" s="12" t="n"/>
      <c r="E56" s="12" t="n"/>
      <c r="F56" s="12" t="n"/>
    </row>
    <row r="57">
      <c r="A57" s="12" t="n"/>
      <c r="B57" s="12" t="n"/>
      <c r="C57" s="12" t="n"/>
      <c r="D57" s="12" t="n"/>
      <c r="E57" s="12" t="n"/>
      <c r="F57" s="12" t="n"/>
    </row>
    <row r="58">
      <c r="A58" s="12" t="n"/>
      <c r="B58" s="12" t="n"/>
      <c r="C58" s="12" t="n"/>
      <c r="D58" s="12" t="n"/>
      <c r="E58" s="12" t="n"/>
      <c r="F58" s="12" t="n"/>
    </row>
    <row r="59">
      <c r="A59" s="12" t="n"/>
      <c r="B59" s="12" t="n"/>
      <c r="C59" s="12" t="n"/>
      <c r="D59" s="12" t="n"/>
      <c r="E59" s="46" t="n"/>
      <c r="F59" s="12" t="n"/>
    </row>
    <row r="60">
      <c r="A60" s="12" t="n"/>
      <c r="B60" s="12" t="n"/>
      <c r="C60" s="12" t="n"/>
      <c r="D60" s="12" t="n"/>
      <c r="E60" s="46" t="n"/>
      <c r="F60" s="12" t="n"/>
    </row>
    <row r="61">
      <c r="A61" s="12" t="n"/>
      <c r="B61" s="12" t="n"/>
      <c r="C61" s="12" t="n"/>
      <c r="D61" s="12" t="n"/>
      <c r="E61" s="46" t="n"/>
      <c r="F61" s="12" t="n"/>
    </row>
    <row r="62">
      <c r="A62" s="12" t="n"/>
      <c r="B62" s="12" t="n"/>
      <c r="C62" s="12" t="n"/>
      <c r="D62" s="12" t="n"/>
      <c r="E62" s="46" t="n"/>
      <c r="F62" s="12" t="n"/>
    </row>
    <row r="63">
      <c r="A63" s="12" t="n"/>
      <c r="B63" s="12" t="n"/>
      <c r="C63" s="12" t="n"/>
      <c r="D63" s="12" t="n"/>
      <c r="E63" s="12" t="n"/>
      <c r="F63" s="12" t="n"/>
    </row>
    <row r="64">
      <c r="A64" s="12" t="n"/>
      <c r="B64" s="12" t="n"/>
      <c r="C64" s="12" t="n"/>
      <c r="D64" s="12" t="n"/>
      <c r="E64" s="12" t="n"/>
      <c r="F64" s="12" t="n"/>
    </row>
    <row r="65">
      <c r="A65" s="12" t="n"/>
      <c r="B65" s="12" t="n"/>
      <c r="C65" s="12" t="n"/>
      <c r="D65" s="12" t="n"/>
      <c r="E65" s="12" t="n"/>
      <c r="F65" s="12" t="n"/>
    </row>
    <row r="66">
      <c r="A66" s="12" t="n"/>
      <c r="B66" s="12" t="n"/>
      <c r="C66" s="12" t="n"/>
      <c r="D66" s="12" t="n"/>
      <c r="E66" s="12" t="n"/>
      <c r="F66" s="12" t="n"/>
    </row>
    <row r="67">
      <c r="A67" s="12" t="n"/>
      <c r="B67" s="12" t="n"/>
      <c r="C67" s="12" t="n"/>
      <c r="D67" s="12" t="n"/>
      <c r="E67" s="12" t="n"/>
      <c r="F67" s="12" t="n"/>
    </row>
  </sheetData>
  <autoFilter ref="A4:F9"/>
  <mergeCells count="3">
    <mergeCell ref="A2:C2"/>
    <mergeCell ref="A20:C20"/>
    <mergeCell ref="A11:C1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="115" zoomScaleNormal="115" workbookViewId="0">
      <selection activeCell="C11" sqref="C11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hidden="1" width="6.375" customWidth="1" style="9" min="9" max="9"/>
    <col hidden="1" width="9" customWidth="1" style="9" min="10" max="10"/>
    <col hidden="1" width="16.5" customWidth="1" style="9" min="11" max="12"/>
    <col hidden="1" width="9" customWidth="1" style="9" min="13" max="14"/>
  </cols>
  <sheetData>
    <row r="1" ht="17.25" customHeight="1" s="53" thickBot="1"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총액(11층)</t>
        </is>
      </c>
      <c r="B2" s="55" t="n"/>
      <c r="C2" s="56" t="n"/>
      <c r="D2" s="79">
        <f>365964+9880</f>
        <v/>
      </c>
      <c r="E2" s="79" t="n">
        <v>36596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I3" s="17" t="n">
        <v>2</v>
      </c>
      <c r="J3" s="17" t="inlineStr">
        <is>
          <t>13층</t>
        </is>
      </c>
      <c r="K3" s="17" t="inlineStr">
        <is>
          <t>사업관리본부</t>
        </is>
      </c>
      <c r="L3" s="17" t="inlineStr">
        <is>
          <t>영업관리실</t>
        </is>
      </c>
      <c r="M3" s="17" t="inlineStr">
        <is>
          <t>이현섭</t>
        </is>
      </c>
      <c r="N3" s="17" t="inlineStr">
        <is>
          <t>주임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8" t="inlineStr">
        <is>
          <t>13층</t>
        </is>
      </c>
      <c r="K4" s="18" t="inlineStr">
        <is>
          <t>R&amp;D본부</t>
        </is>
      </c>
      <c r="L4" s="18" t="inlineStr">
        <is>
          <t>R&amp;D본부</t>
        </is>
      </c>
      <c r="M4" s="18" t="inlineStr">
        <is>
          <t>김갑득</t>
        </is>
      </c>
      <c r="N4" s="18" t="inlineStr">
        <is>
          <t>사장</t>
        </is>
      </c>
    </row>
    <row r="5">
      <c r="A5" s="80" t="inlineStr">
        <is>
          <t>영업관리실</t>
        </is>
      </c>
      <c r="B5" s="83" t="inlineStr">
        <is>
          <t>판관</t>
        </is>
      </c>
      <c r="C5" s="91">
        <f>COUNTIF(L:L,"영업관리실")-1</f>
        <v/>
      </c>
      <c r="D5" s="75">
        <f>ROUND($D$2/$C$12*C5,0)</f>
        <v/>
      </c>
      <c r="E5" s="75">
        <f>ROUND($E$2/$C$12*C5,0)</f>
        <v/>
      </c>
      <c r="F5" s="76">
        <f>D5+E5</f>
        <v/>
      </c>
      <c r="I5" s="17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김명진</t>
        </is>
      </c>
      <c r="N5" s="17" t="inlineStr">
        <is>
          <t>상무</t>
        </is>
      </c>
    </row>
    <row r="6">
      <c r="A6" s="80" t="inlineStr">
        <is>
          <t>사업관리실</t>
        </is>
      </c>
      <c r="B6" s="83" t="inlineStr">
        <is>
          <t>판관</t>
        </is>
      </c>
      <c r="C6" s="91">
        <f>COUNTIF(L:L,"사업관리실")</f>
        <v/>
      </c>
      <c r="D6" s="75">
        <f>ROUND($D$2/$C$12*C6,0)</f>
        <v/>
      </c>
      <c r="E6" s="75">
        <f>ROUND($E$2/$C$12*C6,0)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이재영</t>
        </is>
      </c>
      <c r="N6" s="17" t="inlineStr">
        <is>
          <t>과장</t>
        </is>
      </c>
    </row>
    <row r="7">
      <c r="A7" s="72" t="inlineStr">
        <is>
          <t>설계1실</t>
        </is>
      </c>
      <c r="B7" s="73" t="inlineStr">
        <is>
          <t>제조</t>
        </is>
      </c>
      <c r="C7" s="74">
        <f>COUNTIF(L:L,"설계1실")</f>
        <v/>
      </c>
      <c r="D7" s="75">
        <f>ROUND($D$2/$C$12*C7,0)</f>
        <v/>
      </c>
      <c r="E7" s="75">
        <f>ROUND($E$2/$C$12*C7,0)</f>
        <v/>
      </c>
      <c r="F7" s="76">
        <f>D7+E7</f>
        <v/>
      </c>
      <c r="I7" s="17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강지혜</t>
        </is>
      </c>
      <c r="N7" s="17" t="inlineStr">
        <is>
          <t>대리</t>
        </is>
      </c>
    </row>
    <row r="8">
      <c r="A8" s="72" t="inlineStr">
        <is>
          <t>설계2실</t>
        </is>
      </c>
      <c r="B8" s="73" t="inlineStr">
        <is>
          <t>제조</t>
        </is>
      </c>
      <c r="C8" s="74">
        <f>COUNTIF(L:L,"설계2실")</f>
        <v/>
      </c>
      <c r="D8" s="75">
        <f>ROUND($D$2/$C$12*C8,0)</f>
        <v/>
      </c>
      <c r="E8" s="75">
        <f>ROUND($E$2/$C$12*C8,0)</f>
        <v/>
      </c>
      <c r="F8" s="76">
        <f>D8+E8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이경태</t>
        </is>
      </c>
      <c r="N8" s="17" t="inlineStr">
        <is>
          <t>차장</t>
        </is>
      </c>
    </row>
    <row r="9">
      <c r="A9" s="80" t="inlineStr">
        <is>
          <t>사업관리본부</t>
        </is>
      </c>
      <c r="B9" s="83" t="inlineStr">
        <is>
          <t>판관</t>
        </is>
      </c>
      <c r="C9" s="91">
        <f>COUNTIF(L:L,"사업관리본부")</f>
        <v/>
      </c>
      <c r="D9" s="75">
        <f>ROUND($D$2/$C$12*C9,0)</f>
        <v/>
      </c>
      <c r="E9" s="75">
        <f>ROUND($E$2/$C$12*C9,0)</f>
        <v/>
      </c>
      <c r="F9" s="76">
        <f>D9+E9</f>
        <v/>
      </c>
      <c r="I9" s="17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최경천</t>
        </is>
      </c>
      <c r="N9" s="17" t="inlineStr">
        <is>
          <t>차장</t>
        </is>
      </c>
    </row>
    <row r="10">
      <c r="A10" s="80" t="inlineStr">
        <is>
          <t>설계본부</t>
        </is>
      </c>
      <c r="B10" s="73" t="inlineStr">
        <is>
          <t>제조</t>
        </is>
      </c>
      <c r="C10" s="91">
        <f>COUNTIF(L:L,"설계본부")</f>
        <v/>
      </c>
      <c r="D10" s="75">
        <f>ROUND($D$2/$C$12*C10,0)</f>
        <v/>
      </c>
      <c r="E10" s="75">
        <f>ROUND($E$2/$C$12*C10,0)</f>
        <v/>
      </c>
      <c r="F10" s="7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이재선</t>
        </is>
      </c>
      <c r="N10" s="17" t="inlineStr">
        <is>
          <t>차장</t>
        </is>
      </c>
    </row>
    <row r="11" ht="17.25" customHeight="1" s="53" thickBot="1">
      <c r="A11" s="80" t="inlineStr">
        <is>
          <t>전사</t>
        </is>
      </c>
      <c r="B11" s="73" t="inlineStr">
        <is>
          <t>판관</t>
        </is>
      </c>
      <c r="C11" s="91">
        <f>COUNTIF(L:L,"전사")</f>
        <v/>
      </c>
      <c r="D11" s="75">
        <f>ROUND($D$2/$C$12*C11,0)-2</f>
        <v/>
      </c>
      <c r="E11" s="75">
        <f>ROUND($E$2/$C$12*C11,0)</f>
        <v/>
      </c>
      <c r="F11" s="76">
        <f>D11+E11</f>
        <v/>
      </c>
      <c r="I11" s="17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이택호</t>
        </is>
      </c>
      <c r="N11" s="17" t="inlineStr">
        <is>
          <t>부장</t>
        </is>
      </c>
    </row>
    <row r="12" ht="17.25" customHeight="1" s="53" thickBot="1">
      <c r="A12" s="68" t="inlineStr">
        <is>
          <t>총합</t>
        </is>
      </c>
      <c r="B12" s="69" t="n"/>
      <c r="C12" s="70">
        <f>SUM(C5:C11)</f>
        <v/>
      </c>
      <c r="D12" s="77">
        <f>SUM(D5:D11)</f>
        <v/>
      </c>
      <c r="E12" s="84">
        <f>SUM(E5:E11)</f>
        <v/>
      </c>
      <c r="F12" s="78">
        <f>SUM(F5:F11)</f>
        <v/>
      </c>
      <c r="I12" s="22" t="n">
        <v>11</v>
      </c>
      <c r="J12" s="17" t="inlineStr">
        <is>
          <t>13층</t>
        </is>
      </c>
      <c r="K12" s="17" t="n"/>
      <c r="L12" s="17" t="inlineStr">
        <is>
          <t>경영기획실</t>
        </is>
      </c>
      <c r="M12" s="17" t="inlineStr">
        <is>
          <t>이황</t>
        </is>
      </c>
      <c r="N12" s="17" t="inlineStr">
        <is>
          <t>과장</t>
        </is>
      </c>
    </row>
    <row r="13" ht="17.25" customHeight="1" s="53" thickBot="1">
      <c r="D13" s="81" t="n"/>
      <c r="F13" s="82" t="n"/>
      <c r="I13" s="37" t="n">
        <v>12</v>
      </c>
      <c r="J13" s="37" t="inlineStr">
        <is>
          <t>13층</t>
        </is>
      </c>
      <c r="K13" s="38" t="n"/>
      <c r="L13" s="37" t="inlineStr">
        <is>
          <t>경영기획실</t>
        </is>
      </c>
      <c r="M13" s="37" t="inlineStr">
        <is>
          <t>강소영</t>
        </is>
      </c>
      <c r="N13" s="37" t="inlineStr">
        <is>
          <t>주임</t>
        </is>
      </c>
    </row>
    <row r="14" ht="18" customHeight="1" s="53" thickBot="1" thickTop="1">
      <c r="D14" s="81" t="n"/>
      <c r="I14" s="22" t="n">
        <v>1</v>
      </c>
      <c r="J14" s="36" t="inlineStr">
        <is>
          <t>11층</t>
        </is>
      </c>
      <c r="K14" s="36" t="inlineStr">
        <is>
          <t>설계본부</t>
        </is>
      </c>
      <c r="L14" s="36" t="inlineStr">
        <is>
          <t>설계본부</t>
        </is>
      </c>
      <c r="M14" s="36" t="inlineStr">
        <is>
          <t>오진택</t>
        </is>
      </c>
      <c r="N14" s="36" t="inlineStr">
        <is>
          <t>전무</t>
        </is>
      </c>
    </row>
    <row r="15" ht="17.25" customHeight="1" s="53" thickBot="1">
      <c r="A15" s="64" t="inlineStr">
        <is>
          <t>전기료 총액(13층)</t>
        </is>
      </c>
      <c r="B15" s="55" t="n"/>
      <c r="C15" s="56" t="n"/>
      <c r="D15" s="79">
        <f>390575+10540-3</f>
        <v/>
      </c>
      <c r="E15" s="79" t="n">
        <v>39058</v>
      </c>
      <c r="F15" s="66">
        <f>D15+E15</f>
        <v/>
      </c>
      <c r="I15" s="17" t="n">
        <v>2</v>
      </c>
      <c r="J15" s="18" t="inlineStr">
        <is>
          <t>11층</t>
        </is>
      </c>
      <c r="K15" s="18" t="inlineStr">
        <is>
          <t>설계본부</t>
        </is>
      </c>
      <c r="L15" s="18" t="inlineStr">
        <is>
          <t>설계본부</t>
        </is>
      </c>
      <c r="M15" s="18" t="inlineStr">
        <is>
          <t>최우제</t>
        </is>
      </c>
      <c r="N15" s="18" t="inlineStr">
        <is>
          <t>이사보</t>
        </is>
      </c>
    </row>
    <row r="16" ht="17.25" customHeight="1" s="53" thickBot="1">
      <c r="I16" s="22" t="n">
        <v>3</v>
      </c>
      <c r="J16" s="19" t="inlineStr">
        <is>
          <t>11층</t>
        </is>
      </c>
      <c r="K16" s="19" t="inlineStr">
        <is>
          <t>설계본부</t>
        </is>
      </c>
      <c r="L16" s="19" t="inlineStr">
        <is>
          <t>전사</t>
        </is>
      </c>
      <c r="M16" s="19" t="inlineStr">
        <is>
          <t>이정진</t>
        </is>
      </c>
      <c r="N16" s="19" t="inlineStr">
        <is>
          <t>부장</t>
        </is>
      </c>
    </row>
    <row r="17" ht="17.25" customHeight="1" s="53" thickBot="1">
      <c r="A17" s="68" t="inlineStr">
        <is>
          <t>부서</t>
        </is>
      </c>
      <c r="B17" s="69" t="inlineStr">
        <is>
          <t>계정</t>
        </is>
      </c>
      <c r="C17" s="70" t="inlineStr">
        <is>
          <t>인원</t>
        </is>
      </c>
      <c r="D17" s="28" t="inlineStr">
        <is>
          <t>공급가</t>
        </is>
      </c>
      <c r="E17" s="71" t="inlineStr">
        <is>
          <t>부가세</t>
        </is>
      </c>
      <c r="F17" s="30" t="inlineStr">
        <is>
          <t>합계</t>
        </is>
      </c>
      <c r="I17" s="17" t="n">
        <v>4</v>
      </c>
      <c r="J17" s="17" t="inlineStr">
        <is>
          <t>11층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김태은</t>
        </is>
      </c>
      <c r="N17" s="17" t="inlineStr">
        <is>
          <t>과장</t>
        </is>
      </c>
    </row>
    <row r="18">
      <c r="A18" s="80" t="inlineStr">
        <is>
          <t>감사역</t>
        </is>
      </c>
      <c r="B18" s="83" t="inlineStr">
        <is>
          <t>판관</t>
        </is>
      </c>
      <c r="C18" s="91">
        <f>COUNTIF(L:L,"감사역")</f>
        <v/>
      </c>
      <c r="D18" s="75">
        <f>ROUND($D$15/$C$22*C18,0)</f>
        <v/>
      </c>
      <c r="E18" s="75">
        <f>ROUND($E$15/$C$22*C18,0)</f>
        <v/>
      </c>
      <c r="F18" s="76">
        <f>D18+E18</f>
        <v/>
      </c>
      <c r="I18" s="22" t="n">
        <v>5</v>
      </c>
      <c r="J18" s="17" t="inlineStr">
        <is>
          <t>11층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>
      <c r="A19" s="80" t="inlineStr">
        <is>
          <t>영업관리실</t>
        </is>
      </c>
      <c r="B19" s="83" t="inlineStr">
        <is>
          <t>판관</t>
        </is>
      </c>
      <c r="C19" s="91" t="n">
        <v>1</v>
      </c>
      <c r="D19" s="75">
        <f>ROUND($D$15/$C$22*C19,0)</f>
        <v/>
      </c>
      <c r="E19" s="75">
        <f>ROUND($E$15/$C$22*C19,0)</f>
        <v/>
      </c>
      <c r="F19" s="76">
        <f>D19+E19</f>
        <v/>
      </c>
      <c r="I19" s="17" t="n">
        <v>6</v>
      </c>
      <c r="J19" s="17" t="inlineStr">
        <is>
          <t>11층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기재관</t>
        </is>
      </c>
      <c r="N19" s="17" t="inlineStr">
        <is>
          <t>대리</t>
        </is>
      </c>
    </row>
    <row r="20">
      <c r="A20" s="80" t="inlineStr">
        <is>
          <t>R&amp;D본부</t>
        </is>
      </c>
      <c r="B20" s="73" t="inlineStr">
        <is>
          <t>연구</t>
        </is>
      </c>
      <c r="C20" s="91">
        <f>COUNTIF(L:L,"R&amp;D본부")</f>
        <v/>
      </c>
      <c r="D20" s="75">
        <f>ROUND($D$15/$C$22*C20,0)</f>
        <v/>
      </c>
      <c r="E20" s="75">
        <f>ROUND($E$15/$C$22*C20,0)</f>
        <v/>
      </c>
      <c r="F20" s="76">
        <f>D20+E20</f>
        <v/>
      </c>
      <c r="I20" s="22" t="n">
        <v>7</v>
      </c>
      <c r="J20" s="17" t="inlineStr">
        <is>
          <t>11층</t>
        </is>
      </c>
      <c r="K20" s="17" t="inlineStr">
        <is>
          <t>설계본부</t>
        </is>
      </c>
      <c r="L20" s="17" t="inlineStr">
        <is>
          <t>설계1실</t>
        </is>
      </c>
      <c r="M20" s="17" t="inlineStr">
        <is>
          <t>조지은</t>
        </is>
      </c>
      <c r="N20" s="17" t="inlineStr">
        <is>
          <t>부장</t>
        </is>
      </c>
    </row>
    <row r="21" ht="17.25" customHeight="1" s="53" thickBot="1">
      <c r="A21" s="72" t="inlineStr">
        <is>
          <t>경영기획실</t>
        </is>
      </c>
      <c r="B21" s="83" t="inlineStr">
        <is>
          <t>판관</t>
        </is>
      </c>
      <c r="C21" s="74">
        <f>COUNTIF(L:L,"경영기획실")</f>
        <v/>
      </c>
      <c r="D21" s="75">
        <f>ROUND($D$15/$C$22*C21,0)</f>
        <v/>
      </c>
      <c r="E21" s="75">
        <f>ROUND($E$15/$C$22*C21,0)-1</f>
        <v/>
      </c>
      <c r="F21" s="76">
        <f>D21+E21</f>
        <v/>
      </c>
      <c r="I21" s="17" t="n">
        <v>8</v>
      </c>
      <c r="J21" s="17" t="inlineStr">
        <is>
          <t>11층</t>
        </is>
      </c>
      <c r="K21" s="17" t="inlineStr">
        <is>
          <t>설계본부</t>
        </is>
      </c>
      <c r="L21" s="17" t="inlineStr">
        <is>
          <t>설계1실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 thickBot="1">
      <c r="A22" s="68" t="inlineStr">
        <is>
          <t>총합</t>
        </is>
      </c>
      <c r="B22" s="69" t="n"/>
      <c r="C22" s="70">
        <f>SUM(C18:C21)</f>
        <v/>
      </c>
      <c r="D22" s="77">
        <f>SUM(D18:D21)</f>
        <v/>
      </c>
      <c r="E22" s="84">
        <f>SUM(E18:E21)</f>
        <v/>
      </c>
      <c r="F22" s="78">
        <f>SUM(F18:F21)</f>
        <v/>
      </c>
      <c r="I22" s="22" t="n">
        <v>9</v>
      </c>
      <c r="J22" s="17" t="inlineStr">
        <is>
          <t>11층</t>
        </is>
      </c>
      <c r="K22" s="17" t="inlineStr">
        <is>
          <t>설계본부</t>
        </is>
      </c>
      <c r="L22" s="17" t="inlineStr">
        <is>
          <t>설계1실</t>
        </is>
      </c>
      <c r="M22" s="17" t="inlineStr">
        <is>
          <t>최수용</t>
        </is>
      </c>
      <c r="N22" s="17" t="inlineStr">
        <is>
          <t>사원</t>
        </is>
      </c>
    </row>
    <row r="23">
      <c r="I23" s="17" t="n">
        <v>10</v>
      </c>
      <c r="J23" s="17" t="inlineStr">
        <is>
          <t>11층</t>
        </is>
      </c>
      <c r="K23" s="20" t="inlineStr">
        <is>
          <t>설계본부</t>
        </is>
      </c>
      <c r="L23" s="17" t="inlineStr">
        <is>
          <t>설계2실</t>
        </is>
      </c>
      <c r="M23" s="17" t="inlineStr">
        <is>
          <t>최진달미</t>
        </is>
      </c>
      <c r="N23" s="17" t="inlineStr">
        <is>
          <t>전무</t>
        </is>
      </c>
    </row>
    <row r="24">
      <c r="I24" s="22" t="n">
        <v>11</v>
      </c>
      <c r="J24" s="17" t="inlineStr">
        <is>
          <t>11층</t>
        </is>
      </c>
      <c r="K24" s="17" t="inlineStr">
        <is>
          <t>설계본부</t>
        </is>
      </c>
      <c r="L24" s="17" t="inlineStr">
        <is>
          <t>설계2실</t>
        </is>
      </c>
      <c r="M24" s="17" t="inlineStr">
        <is>
          <t>류승호</t>
        </is>
      </c>
      <c r="N24" s="17" t="inlineStr">
        <is>
          <t>과장</t>
        </is>
      </c>
    </row>
    <row r="25">
      <c r="I25" s="17" t="n">
        <v>12</v>
      </c>
      <c r="J25" s="17" t="inlineStr">
        <is>
          <t>11층</t>
        </is>
      </c>
      <c r="K25" s="20" t="inlineStr">
        <is>
          <t>설계본부</t>
        </is>
      </c>
      <c r="L25" s="17" t="inlineStr">
        <is>
          <t>설계2실</t>
        </is>
      </c>
      <c r="M25" s="17" t="inlineStr">
        <is>
          <t>황진욱</t>
        </is>
      </c>
      <c r="N25" s="17" t="inlineStr">
        <is>
          <t>황진욱</t>
        </is>
      </c>
    </row>
    <row r="26">
      <c r="I26" s="22" t="n">
        <v>13</v>
      </c>
      <c r="J26" s="17" t="inlineStr">
        <is>
          <t>11층</t>
        </is>
      </c>
      <c r="K26" s="17" t="inlineStr">
        <is>
          <t>설계본부</t>
        </is>
      </c>
      <c r="L26" s="17" t="inlineStr">
        <is>
          <t>설계2실</t>
        </is>
      </c>
      <c r="M26" s="17" t="inlineStr">
        <is>
          <t>오한솔</t>
        </is>
      </c>
      <c r="N26" s="17" t="inlineStr">
        <is>
          <t>주임</t>
        </is>
      </c>
    </row>
    <row r="27">
      <c r="I27" s="17" t="n">
        <v>14</v>
      </c>
      <c r="J27" s="17" t="inlineStr">
        <is>
          <t>11층</t>
        </is>
      </c>
      <c r="K27" s="17" t="inlineStr">
        <is>
          <t>설계본부</t>
        </is>
      </c>
      <c r="L27" s="17" t="inlineStr">
        <is>
          <t>설계2실</t>
        </is>
      </c>
      <c r="M27" s="17" t="inlineStr">
        <is>
          <t>김채영</t>
        </is>
      </c>
      <c r="N27" s="17" t="inlineStr">
        <is>
          <t>부장</t>
        </is>
      </c>
    </row>
    <row r="28">
      <c r="I28" s="22" t="n">
        <v>15</v>
      </c>
      <c r="J28" s="18" t="inlineStr">
        <is>
          <t>11층</t>
        </is>
      </c>
      <c r="K28" s="18" t="inlineStr">
        <is>
          <t>사업관리본부</t>
        </is>
      </c>
      <c r="L28" s="18" t="inlineStr">
        <is>
          <t>사업관리본부</t>
        </is>
      </c>
      <c r="M28" s="18" t="inlineStr">
        <is>
          <t>김동우</t>
        </is>
      </c>
      <c r="N28" s="18" t="inlineStr">
        <is>
          <t>전무</t>
        </is>
      </c>
    </row>
    <row r="29">
      <c r="I29" s="17" t="n">
        <v>16</v>
      </c>
      <c r="J29" s="17" t="inlineStr">
        <is>
          <t>11층</t>
        </is>
      </c>
      <c r="K29" s="17" t="inlineStr">
        <is>
          <t>사업관리본부</t>
        </is>
      </c>
      <c r="L29" s="17" t="inlineStr">
        <is>
          <t>사업관리실</t>
        </is>
      </c>
      <c r="M29" s="17" t="inlineStr">
        <is>
          <t>박종철</t>
        </is>
      </c>
      <c r="N29" s="17" t="inlineStr">
        <is>
          <t>이사</t>
        </is>
      </c>
    </row>
    <row r="30">
      <c r="I30" s="22" t="n">
        <v>17</v>
      </c>
      <c r="J30" s="17" t="inlineStr">
        <is>
          <t>11층</t>
        </is>
      </c>
      <c r="K30" s="17" t="inlineStr">
        <is>
          <t>사업관리본부</t>
        </is>
      </c>
      <c r="L30" s="17" t="inlineStr">
        <is>
          <t>사업관리실</t>
        </is>
      </c>
      <c r="M30" s="17" t="inlineStr">
        <is>
          <t>이성규</t>
        </is>
      </c>
      <c r="N30" s="17" t="inlineStr">
        <is>
          <t>차장</t>
        </is>
      </c>
    </row>
    <row r="31">
      <c r="I31" s="17" t="n">
        <v>18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17" t="inlineStr">
        <is>
          <t>이강호</t>
        </is>
      </c>
      <c r="N31" s="17" t="inlineStr">
        <is>
          <t>차장</t>
        </is>
      </c>
    </row>
    <row r="32">
      <c r="E32" s="0" t="n"/>
      <c r="I32" s="22" t="n">
        <v>19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17" t="inlineStr">
        <is>
          <t>김동규</t>
        </is>
      </c>
      <c r="N32" s="17" t="inlineStr">
        <is>
          <t>부장</t>
        </is>
      </c>
    </row>
    <row r="33">
      <c r="I33" s="17" t="n">
        <v>20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17" t="inlineStr">
        <is>
          <t>이완구</t>
        </is>
      </c>
      <c r="N33" s="17" t="inlineStr">
        <is>
          <t>부장</t>
        </is>
      </c>
    </row>
    <row r="34">
      <c r="I34" s="22" t="n">
        <v>21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영업관리실</t>
        </is>
      </c>
      <c r="M34" s="17" t="inlineStr">
        <is>
          <t>주현철</t>
        </is>
      </c>
      <c r="N34" s="17" t="inlineStr">
        <is>
          <t>상무</t>
        </is>
      </c>
    </row>
    <row r="35">
      <c r="I35" s="17" t="n">
        <v>22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이미정</t>
        </is>
      </c>
      <c r="N35" s="17" t="inlineStr">
        <is>
          <t>과장</t>
        </is>
      </c>
    </row>
    <row r="36">
      <c r="I36" s="22" t="n">
        <v>23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I37" s="17" t="n">
        <v>24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김진규</t>
        </is>
      </c>
      <c r="N37" s="17" t="inlineStr">
        <is>
          <t>대리</t>
        </is>
      </c>
    </row>
    <row r="38">
      <c r="I38" s="21" t="n">
        <v>25</v>
      </c>
      <c r="J38" s="21" t="inlineStr">
        <is>
          <t>11층</t>
        </is>
      </c>
      <c r="K38" s="21" t="inlineStr">
        <is>
          <t>사업관리본부</t>
        </is>
      </c>
      <c r="L38" s="21" t="inlineStr">
        <is>
          <t>영업관리실</t>
        </is>
      </c>
      <c r="M38" s="21" t="inlineStr">
        <is>
          <t>연지현</t>
        </is>
      </c>
      <c r="N38" s="21" t="inlineStr">
        <is>
          <t>주임</t>
        </is>
      </c>
    </row>
  </sheetData>
  <autoFilter ref="A4:F12"/>
  <mergeCells count="2">
    <mergeCell ref="A15:C15"/>
    <mergeCell ref="A2:C2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F31"/>
  <sheetViews>
    <sheetView zoomScale="115" zoomScaleNormal="115" workbookViewId="0">
      <selection activeCell="D2" sqref="D2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</cols>
  <sheetData>
    <row r="1" ht="17.25" customHeight="1" s="53" thickBot="1"/>
    <row r="2" ht="17.25" customHeight="1" s="53" thickBot="1">
      <c r="A2" s="64" t="inlineStr">
        <is>
          <t>전기료 총액(11층)</t>
        </is>
      </c>
      <c r="B2" s="55" t="n"/>
      <c r="C2" s="56" t="n"/>
      <c r="D2" s="79" t="n">
        <v>556028</v>
      </c>
      <c r="E2" s="79" t="n">
        <v>54142</v>
      </c>
      <c r="F2" s="66">
        <f>D2+E2</f>
        <v/>
      </c>
    </row>
    <row r="3" ht="17.25" customHeight="1" s="53" thickBot="1"/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</row>
    <row r="5">
      <c r="A5" s="80" t="inlineStr">
        <is>
          <t>영업관리실</t>
        </is>
      </c>
      <c r="B5" s="83" t="inlineStr">
        <is>
          <t>판관</t>
        </is>
      </c>
      <c r="C5" s="91" t="n">
        <v>5</v>
      </c>
      <c r="D5" s="75">
        <f>ROUND(556030/$C12*C5,0)</f>
        <v/>
      </c>
      <c r="E5" s="75">
        <f>ROUND(54140/C12*C5,0)</f>
        <v/>
      </c>
      <c r="F5" s="76">
        <f>D5+E5</f>
        <v/>
      </c>
    </row>
    <row r="6">
      <c r="A6" s="80" t="inlineStr">
        <is>
          <t>사업관리실</t>
        </is>
      </c>
      <c r="B6" s="83" t="inlineStr">
        <is>
          <t>판관</t>
        </is>
      </c>
      <c r="C6" s="91" t="n">
        <v>5</v>
      </c>
      <c r="D6" s="75">
        <f>ROUND(556030/$C12*C6,0)</f>
        <v/>
      </c>
      <c r="E6" s="75">
        <f>ROUND(54140/C12*C6,0)</f>
        <v/>
      </c>
      <c r="F6" s="76">
        <f>D6+E6</f>
        <v/>
      </c>
    </row>
    <row r="7">
      <c r="A7" s="72" t="inlineStr">
        <is>
          <t>설계1실</t>
        </is>
      </c>
      <c r="B7" s="73" t="inlineStr">
        <is>
          <t>제조</t>
        </is>
      </c>
      <c r="C7" s="74" t="n">
        <v>6</v>
      </c>
      <c r="D7" s="75">
        <f>ROUND(556030/$C12*C7,0)</f>
        <v/>
      </c>
      <c r="E7" s="75">
        <f>ROUND(54140/C12*C7,0)</f>
        <v/>
      </c>
      <c r="F7" s="76">
        <f>D7+E7</f>
        <v/>
      </c>
    </row>
    <row r="8">
      <c r="A8" s="72" t="inlineStr">
        <is>
          <t>설계2실</t>
        </is>
      </c>
      <c r="B8" s="73" t="inlineStr">
        <is>
          <t>제조</t>
        </is>
      </c>
      <c r="C8" s="74" t="n">
        <v>3</v>
      </c>
      <c r="D8" s="75">
        <f>ROUND(556030/$C12*C8,0)</f>
        <v/>
      </c>
      <c r="E8" s="75">
        <f>ROUND(54140/C12*C8,0)</f>
        <v/>
      </c>
      <c r="F8" s="76">
        <f>D8+E8</f>
        <v/>
      </c>
    </row>
    <row r="9">
      <c r="A9" s="80" t="inlineStr">
        <is>
          <t>사업관리본부</t>
        </is>
      </c>
      <c r="B9" s="83" t="inlineStr">
        <is>
          <t>판관</t>
        </is>
      </c>
      <c r="C9" s="91" t="n">
        <v>1</v>
      </c>
      <c r="D9" s="75">
        <f>ROUND(556030/$C12*C9,0)</f>
        <v/>
      </c>
      <c r="E9" s="75">
        <f>ROUND(54140/C12*C9,0)</f>
        <v/>
      </c>
      <c r="F9" s="76">
        <f>D9+E9</f>
        <v/>
      </c>
    </row>
    <row r="10">
      <c r="A10" s="80" t="inlineStr">
        <is>
          <t>설계본부</t>
        </is>
      </c>
      <c r="B10" s="73" t="inlineStr">
        <is>
          <t>제조</t>
        </is>
      </c>
      <c r="C10" s="91" t="n">
        <v>2</v>
      </c>
      <c r="D10" s="75" t="n">
        <v>48349</v>
      </c>
      <c r="E10" s="75" t="n">
        <v>4709</v>
      </c>
      <c r="F10" s="76">
        <f>D10+E10</f>
        <v/>
      </c>
    </row>
    <row r="11" ht="17.25" customHeight="1" s="53" thickBot="1">
      <c r="A11" s="80" t="inlineStr">
        <is>
          <t>전사</t>
        </is>
      </c>
      <c r="B11" s="73" t="inlineStr">
        <is>
          <t>판관</t>
        </is>
      </c>
      <c r="C11" s="91" t="n">
        <v>1</v>
      </c>
      <c r="D11" s="75">
        <f>ROUND(556030/$C12*C11,0)</f>
        <v/>
      </c>
      <c r="E11" s="75">
        <f>ROUND(54140/C12*C11,0)</f>
        <v/>
      </c>
      <c r="F11" s="76">
        <f>D11+E11</f>
        <v/>
      </c>
    </row>
    <row r="12" ht="17.25" customHeight="1" s="53" thickBot="1">
      <c r="A12" s="68" t="inlineStr">
        <is>
          <t>총합</t>
        </is>
      </c>
      <c r="B12" s="69" t="n"/>
      <c r="C12" s="70">
        <f>SUM(C5:C11)</f>
        <v/>
      </c>
      <c r="D12" s="77">
        <f>SUM(D5:D11)</f>
        <v/>
      </c>
      <c r="E12" s="84">
        <f>SUM(E5:E11)</f>
        <v/>
      </c>
      <c r="F12" s="78">
        <f>SUM(F5:F11)</f>
        <v/>
      </c>
    </row>
    <row r="13">
      <c r="D13" s="81" t="n"/>
      <c r="F13" s="82" t="n"/>
    </row>
    <row r="14" ht="17.25" customHeight="1" s="53" thickBot="1">
      <c r="D14" s="81" t="n"/>
    </row>
    <row r="15" ht="17.25" customHeight="1" s="53" thickBot="1">
      <c r="A15" s="64" t="inlineStr">
        <is>
          <t>전기료 총액(13층)</t>
        </is>
      </c>
      <c r="B15" s="55" t="n"/>
      <c r="C15" s="56" t="n"/>
      <c r="D15" s="79" t="n">
        <v>677546</v>
      </c>
      <c r="E15" s="79" t="n">
        <v>65974</v>
      </c>
      <c r="F15" s="66">
        <f>D15+E15</f>
        <v/>
      </c>
    </row>
    <row r="16" ht="17.25" customHeight="1" s="53" thickBot="1"/>
    <row r="17" ht="17.25" customHeight="1" s="53" thickBot="1">
      <c r="A17" s="68" t="inlineStr">
        <is>
          <t>부서</t>
        </is>
      </c>
      <c r="B17" s="69" t="inlineStr">
        <is>
          <t>계정</t>
        </is>
      </c>
      <c r="C17" s="70" t="inlineStr">
        <is>
          <t>인원</t>
        </is>
      </c>
      <c r="D17" s="28" t="inlineStr">
        <is>
          <t>공급가</t>
        </is>
      </c>
      <c r="E17" s="71" t="inlineStr">
        <is>
          <t>부가세</t>
        </is>
      </c>
      <c r="F17" s="30" t="inlineStr">
        <is>
          <t>합계</t>
        </is>
      </c>
    </row>
    <row r="18">
      <c r="A18" s="80" t="inlineStr">
        <is>
          <t>감사역</t>
        </is>
      </c>
      <c r="B18" s="83" t="inlineStr">
        <is>
          <t>판관</t>
        </is>
      </c>
      <c r="C18" s="91" t="n">
        <v>1</v>
      </c>
      <c r="D18" s="75">
        <f>ROUND(677545/C21*C18,0)</f>
        <v/>
      </c>
      <c r="E18" s="75">
        <f>ROUND(65975/C21*C18,0)</f>
        <v/>
      </c>
      <c r="F18" s="76">
        <f>D18+E18</f>
        <v/>
      </c>
    </row>
    <row r="19">
      <c r="A19" s="80" t="inlineStr">
        <is>
          <t>R&amp;D본부</t>
        </is>
      </c>
      <c r="B19" s="73" t="inlineStr">
        <is>
          <t>연구</t>
        </is>
      </c>
      <c r="C19" s="91" t="n">
        <v>2</v>
      </c>
      <c r="D19" s="75">
        <f>ROUND(677545/C21*C19,0)</f>
        <v/>
      </c>
      <c r="E19" s="75">
        <f>ROUND(65975/C21*C19,0)</f>
        <v/>
      </c>
      <c r="F19" s="76">
        <f>D19+E19</f>
        <v/>
      </c>
    </row>
    <row r="20" ht="17.25" customHeight="1" s="53" thickBot="1">
      <c r="A20" s="72" t="inlineStr">
        <is>
          <t>경영기획실</t>
        </is>
      </c>
      <c r="B20" s="83" t="inlineStr">
        <is>
          <t>판관</t>
        </is>
      </c>
      <c r="C20" s="74" t="n">
        <v>8</v>
      </c>
      <c r="D20" s="75" t="n">
        <v>492761</v>
      </c>
      <c r="E20" s="75" t="n">
        <v>47981</v>
      </c>
      <c r="F20" s="76">
        <f>D20+E20</f>
        <v/>
      </c>
    </row>
    <row r="21" ht="17.25" customHeight="1" s="53" thickBot="1">
      <c r="A21" s="68" t="inlineStr">
        <is>
          <t>총합</t>
        </is>
      </c>
      <c r="B21" s="69" t="n"/>
      <c r="C21" s="70">
        <f>SUM(C18:C20)</f>
        <v/>
      </c>
      <c r="D21" s="77">
        <f>SUM(D18:D20)</f>
        <v/>
      </c>
      <c r="E21" s="84">
        <f>SUM(E18:E20)</f>
        <v/>
      </c>
      <c r="F21" s="78">
        <f>SUM(F18:F20)</f>
        <v/>
      </c>
    </row>
    <row r="31">
      <c r="E31" s="0" t="n"/>
    </row>
  </sheetData>
  <autoFilter ref="A4:F12"/>
  <mergeCells count="2">
    <mergeCell ref="A15:C15"/>
    <mergeCell ref="A2:C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2025-07-28T09:34:40Z</dcterms:created>
  <dcterms:modified xsi:type="dcterms:W3CDTF">2026-10-20T07:46:39Z</dcterms:modified>
  <cp:lastModifiedBy>강 소영</cp:lastModifiedBy>
</cp:coreProperties>
</file>