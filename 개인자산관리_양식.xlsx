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대시보드" sheetId="1" state="visible" r:id="rId3"/>
    <sheet name="월별자금수지" sheetId="2" state="visible" r:id="rId4"/>
    <sheet name="고정지출관리" sheetId="3" state="visible" r:id="rId5"/>
    <sheet name="자산현황" sheetId="4" state="visible" r:id="rId6"/>
    <sheet name="부채현황" sheetId="5" state="visible" r:id="rId7"/>
    <sheet name="일별가계부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<sst xmlns="http://schemas.openxmlformats.org/spreadsheetml/2006/main" count="145" uniqueCount="113">
  <si>
    <r>
      <rPr>
        <b val="true"/>
        <sz val="13"/>
        <rFont val="WenQuanYi Zen Hei"/>
        <family val="2"/>
      </rPr>
      <t xml:space="preserve">■ 개인 자산관리 요약 대시보드 </t>
    </r>
    <r>
      <rPr>
        <b val="true"/>
        <sz val="13"/>
        <rFont val="맑은 고딕"/>
        <family val="0"/>
        <charset val="1"/>
      </rPr>
      <t xml:space="preserve">(2026</t>
    </r>
    <r>
      <rPr>
        <b val="true"/>
        <sz val="13"/>
        <rFont val="WenQuanYi Zen Hei"/>
        <family val="2"/>
      </rPr>
      <t xml:space="preserve">년</t>
    </r>
    <r>
      <rPr>
        <b val="true"/>
        <sz val="13"/>
        <rFont val="맑은 고딕"/>
        <family val="0"/>
        <charset val="1"/>
      </rPr>
      <t xml:space="preserve">)</t>
    </r>
  </si>
  <si>
    <r>
      <rPr>
        <i val="true"/>
        <sz val="9"/>
        <color rgb="FF0070C0"/>
        <rFont val="WenQuanYi Zen Hei"/>
        <family val="2"/>
      </rPr>
      <t xml:space="preserve">※ 파란색 셀 </t>
    </r>
    <r>
      <rPr>
        <i val="true"/>
        <sz val="9"/>
        <color rgb="FF0070C0"/>
        <rFont val="맑은 고딕"/>
        <family val="0"/>
        <charset val="1"/>
      </rPr>
      <t xml:space="preserve">= </t>
    </r>
    <r>
      <rPr>
        <i val="true"/>
        <sz val="9"/>
        <color rgb="FF0070C0"/>
        <rFont val="WenQuanYi Zen Hei"/>
        <family val="2"/>
      </rPr>
      <t xml:space="preserve">직접 입력 </t>
    </r>
    <r>
      <rPr>
        <i val="true"/>
        <sz val="9"/>
        <color rgb="FF0070C0"/>
        <rFont val="맑은 고딕"/>
        <family val="0"/>
        <charset val="1"/>
      </rPr>
      <t xml:space="preserve">· </t>
    </r>
    <r>
      <rPr>
        <i val="true"/>
        <sz val="9"/>
        <color rgb="FF0070C0"/>
        <rFont val="WenQuanYi Zen Hei"/>
        <family val="2"/>
      </rPr>
      <t xml:space="preserve">검정색 </t>
    </r>
    <r>
      <rPr>
        <i val="true"/>
        <sz val="9"/>
        <color rgb="FF0070C0"/>
        <rFont val="맑은 고딕"/>
        <family val="0"/>
        <charset val="1"/>
      </rPr>
      <t xml:space="preserve">= </t>
    </r>
    <r>
      <rPr>
        <i val="true"/>
        <sz val="9"/>
        <color rgb="FF0070C0"/>
        <rFont val="WenQuanYi Zen Hei"/>
        <family val="2"/>
      </rPr>
      <t xml:space="preserve">자동 계산</t>
    </r>
    <r>
      <rPr>
        <i val="true"/>
        <sz val="9"/>
        <color rgb="FF0070C0"/>
        <rFont val="맑은 고딕"/>
        <family val="0"/>
        <charset val="1"/>
      </rPr>
      <t xml:space="preserve">(</t>
    </r>
    <r>
      <rPr>
        <i val="true"/>
        <sz val="9"/>
        <color rgb="FF0070C0"/>
        <rFont val="WenQuanYi Zen Hei"/>
        <family val="2"/>
      </rPr>
      <t xml:space="preserve">수식</t>
    </r>
    <r>
      <rPr>
        <i val="true"/>
        <sz val="9"/>
        <color rgb="FF0070C0"/>
        <rFont val="맑은 고딕"/>
        <family val="0"/>
        <charset val="1"/>
      </rPr>
      <t xml:space="preserve">) · </t>
    </r>
    <r>
      <rPr>
        <i val="true"/>
        <sz val="9"/>
        <color rgb="FF0070C0"/>
        <rFont val="WenQuanYi Zen Hei"/>
        <family val="2"/>
      </rPr>
      <t xml:space="preserve">초록색 </t>
    </r>
    <r>
      <rPr>
        <i val="true"/>
        <sz val="9"/>
        <color rgb="FF0070C0"/>
        <rFont val="맑은 고딕"/>
        <family val="0"/>
        <charset val="1"/>
      </rPr>
      <t xml:space="preserve">= </t>
    </r>
    <r>
      <rPr>
        <i val="true"/>
        <sz val="9"/>
        <color rgb="FF0070C0"/>
        <rFont val="WenQuanYi Zen Hei"/>
        <family val="2"/>
      </rPr>
      <t xml:space="preserve">다른 시트와 연동된 셀</t>
    </r>
  </si>
  <si>
    <t xml:space="preserve">작성기준일</t>
  </si>
  <si>
    <t xml:space="preserve">순자산 현황</t>
  </si>
  <si>
    <t xml:space="preserve">총자산</t>
  </si>
  <si>
    <t xml:space="preserve">총부채</t>
  </si>
  <si>
    <r>
      <rPr>
        <b val="true"/>
        <sz val="10"/>
        <color rgb="FF1F3864"/>
        <rFont val="WenQuanYi Zen Hei"/>
        <family val="2"/>
      </rPr>
      <t xml:space="preserve">순자산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자산</t>
    </r>
    <r>
      <rPr>
        <b val="true"/>
        <sz val="10"/>
        <color rgb="FF1F3864"/>
        <rFont val="맑은 고딕"/>
        <family val="0"/>
        <charset val="1"/>
      </rPr>
      <t xml:space="preserve">-</t>
    </r>
    <r>
      <rPr>
        <b val="true"/>
        <sz val="10"/>
        <color rgb="FF1F3864"/>
        <rFont val="WenQuanYi Zen Hei"/>
        <family val="2"/>
      </rPr>
      <t xml:space="preserve">부채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</si>
  <si>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월별 현금흐름 요약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단위</t>
    </r>
    <r>
      <rPr>
        <b val="true"/>
        <sz val="10"/>
        <color rgb="FFFFFFFF"/>
        <rFont val="맑은 고딕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, '</t>
    </r>
    <r>
      <rPr>
        <b val="true"/>
        <sz val="10"/>
        <color rgb="FFFFFFFF"/>
        <rFont val="WenQuanYi Zen Hei"/>
        <family val="2"/>
      </rPr>
      <t xml:space="preserve">월별자금수지</t>
    </r>
    <r>
      <rPr>
        <b val="true"/>
        <sz val="10"/>
        <color rgb="FFFFFFFF"/>
        <rFont val="맑은 고딕"/>
        <family val="0"/>
        <charset val="1"/>
      </rPr>
      <t xml:space="preserve">' </t>
    </r>
    <r>
      <rPr>
        <b val="true"/>
        <sz val="10"/>
        <color rgb="FFFFFFFF"/>
        <rFont val="WenQuanYi Zen Hei"/>
        <family val="2"/>
      </rPr>
      <t xml:space="preserve">시트 연동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</si>
  <si>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구분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</si>
  <si>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</si>
  <si>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</si>
  <si>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</si>
  <si>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</si>
  <si>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</si>
  <si>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</si>
  <si>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</si>
  <si>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</si>
  <si>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</si>
  <si>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</si>
  <si>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</si>
  <si>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</si>
  <si>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합계</t>
  </si>
  <si>
    <t xml:space="preserve">Cash In</t>
  </si>
  <si>
    <t xml:space="preserve">Cash Out</t>
  </si>
  <si>
    <t xml:space="preserve">과부족</t>
  </si>
  <si>
    <r>
      <rPr>
        <b val="true"/>
        <sz val="10"/>
        <rFont val="WenQuanYi Zen Hei"/>
        <family val="2"/>
      </rPr>
      <t xml:space="preserve">월말잔고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누적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</si>
  <si>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3"/>
        <rFont val="WenQuanYi Zen Hei"/>
        <family val="2"/>
      </rPr>
      <t xml:space="preserve">■ 개인 월별 자금수지 </t>
    </r>
    <r>
      <rPr>
        <b val="true"/>
        <sz val="13"/>
        <rFont val="맑은 고딕"/>
        <family val="0"/>
        <charset val="1"/>
      </rPr>
      <t xml:space="preserve">(2026</t>
    </r>
    <r>
      <rPr>
        <b val="true"/>
        <sz val="13"/>
        <rFont val="WenQuanYi Zen Hei"/>
        <family val="2"/>
      </rPr>
      <t xml:space="preserve">년</t>
    </r>
    <r>
      <rPr>
        <b val="true"/>
        <sz val="13"/>
        <rFont val="맑은 고딕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맑은 고딕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맑은 고딕"/>
        <family val="0"/>
        <charset val="1"/>
      </rPr>
      <t xml:space="preserve">)</t>
    </r>
  </si>
  <si>
    <r>
      <rPr>
        <i val="true"/>
        <sz val="9"/>
        <color rgb="FF0070C0"/>
        <rFont val="WenQuanYi Zen Hei"/>
        <family val="2"/>
      </rPr>
      <t xml:space="preserve">※ 파란색 셀</t>
    </r>
    <r>
      <rPr>
        <i val="true"/>
        <sz val="9"/>
        <color rgb="FF0070C0"/>
        <rFont val="맑은 고딕"/>
        <family val="0"/>
        <charset val="1"/>
      </rPr>
      <t xml:space="preserve">(</t>
    </r>
    <r>
      <rPr>
        <i val="true"/>
        <sz val="9"/>
        <color rgb="FF0070C0"/>
        <rFont val="WenQuanYi Zen Hei"/>
        <family val="2"/>
      </rPr>
      <t xml:space="preserve">월별 금액</t>
    </r>
    <r>
      <rPr>
        <i val="true"/>
        <sz val="9"/>
        <color rgb="FF0070C0"/>
        <rFont val="맑은 고딕"/>
        <family val="0"/>
        <charset val="1"/>
      </rPr>
      <t xml:space="preserve">, </t>
    </r>
    <r>
      <rPr>
        <i val="true"/>
        <sz val="9"/>
        <color rgb="FF0070C0"/>
        <rFont val="WenQuanYi Zen Hei"/>
        <family val="2"/>
      </rPr>
      <t xml:space="preserve">기초잔액</t>
    </r>
    <r>
      <rPr>
        <i val="true"/>
        <sz val="9"/>
        <color rgb="FF0070C0"/>
        <rFont val="맑은 고딕"/>
        <family val="0"/>
        <charset val="1"/>
      </rPr>
      <t xml:space="preserve">)</t>
    </r>
    <r>
      <rPr>
        <i val="true"/>
        <sz val="9"/>
        <color rgb="FF0070C0"/>
        <rFont val="WenQuanYi Zen Hei"/>
        <family val="2"/>
      </rPr>
      <t xml:space="preserve">에 직접 입력하세요</t>
    </r>
    <r>
      <rPr>
        <i val="true"/>
        <sz val="9"/>
        <color rgb="FF0070C0"/>
        <rFont val="맑은 고딕"/>
        <family val="0"/>
        <charset val="1"/>
      </rPr>
      <t xml:space="preserve">. </t>
    </r>
    <r>
      <rPr>
        <i val="true"/>
        <sz val="9"/>
        <color rgb="FF0070C0"/>
        <rFont val="WenQuanYi Zen Hei"/>
        <family val="2"/>
      </rPr>
      <t xml:space="preserve">합계</t>
    </r>
    <r>
      <rPr>
        <i val="true"/>
        <sz val="9"/>
        <color rgb="FF0070C0"/>
        <rFont val="맑은 고딕"/>
        <family val="0"/>
        <charset val="1"/>
      </rPr>
      <t xml:space="preserve">/</t>
    </r>
    <r>
      <rPr>
        <i val="true"/>
        <sz val="9"/>
        <color rgb="FF0070C0"/>
        <rFont val="WenQuanYi Zen Hei"/>
        <family val="2"/>
      </rPr>
      <t xml:space="preserve">과부족</t>
    </r>
    <r>
      <rPr>
        <i val="true"/>
        <sz val="9"/>
        <color rgb="FF0070C0"/>
        <rFont val="맑은 고딕"/>
        <family val="0"/>
        <charset val="1"/>
      </rPr>
      <t xml:space="preserve">/</t>
    </r>
    <r>
      <rPr>
        <i val="true"/>
        <sz val="9"/>
        <color rgb="FF0070C0"/>
        <rFont val="WenQuanYi Zen Hei"/>
        <family val="2"/>
      </rPr>
      <t xml:space="preserve">잔고는 자동 계산됩니다</t>
    </r>
    <r>
      <rPr>
        <i val="true"/>
        <sz val="9"/>
        <color rgb="FF0070C0"/>
        <rFont val="맑은 고딕"/>
        <family val="0"/>
        <charset val="1"/>
      </rPr>
      <t xml:space="preserve">.</t>
    </r>
  </si>
  <si>
    <t xml:space="preserve">세부항목</t>
  </si>
  <si>
    <t xml:space="preserve">비고</t>
  </si>
  <si>
    <r>
      <rPr>
        <b val="true"/>
        <sz val="10"/>
        <rFont val="WenQuanYi Zen Hei"/>
        <family val="2"/>
      </rPr>
      <t xml:space="preserve">기초잔액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전년이월</t>
    </r>
    <r>
      <rPr>
        <b val="true"/>
        <sz val="10"/>
        <rFont val="맑은 고딕"/>
        <family val="0"/>
        <charset val="1"/>
      </rPr>
      <t xml:space="preserve">)</t>
    </r>
  </si>
  <si>
    <t xml:space="preserve">직접 입력</t>
  </si>
  <si>
    <r>
      <rPr>
        <b val="true"/>
        <sz val="10"/>
        <rFont val="맑은 고딕"/>
        <family val="0"/>
        <charset val="1"/>
      </rPr>
      <t xml:space="preserve">Cash In
(</t>
    </r>
    <r>
      <rPr>
        <b val="true"/>
        <sz val="10"/>
        <rFont val="WenQuanYi Zen Hei"/>
        <family val="2"/>
      </rPr>
      <t xml:space="preserve">수입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</si>
  <si>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근로소득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급여</t>
    </r>
    <r>
      <rPr>
        <sz val="10"/>
        <rFont val="맑은 고딕"/>
        <family val="0"/>
        <charset val="1"/>
      </rPr>
      <t xml:space="preserve">)</t>
    </r>
  </si>
  <si>
    <t xml:space="preserve">사업소득</t>
  </si>
  <si>
    <r>
      <rPr>
        <sz val="10"/>
        <rFont val="WenQuanYi Zen Hei"/>
        <family val="2"/>
      </rPr>
      <t xml:space="preserve">금융소득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배당</t>
    </r>
    <r>
      <rPr>
        <sz val="10"/>
        <rFont val="맑은 고딕"/>
        <family val="0"/>
        <charset val="1"/>
      </rPr>
      <t xml:space="preserve">)</t>
    </r>
  </si>
  <si>
    <t xml:space="preserve">기타수입</t>
  </si>
  <si>
    <r>
      <rPr>
        <b val="true"/>
        <sz val="10"/>
        <color rgb="FF1F3864"/>
        <rFont val="맑은 고딕"/>
        <family val="0"/>
        <charset val="1"/>
      </rPr>
      <t xml:space="preserve">Cash In </t>
    </r>
    <r>
      <rPr>
        <b val="true"/>
        <sz val="10"/>
        <color rgb="FF1F3864"/>
        <rFont val="WenQuanYi Zen Hei"/>
        <family val="2"/>
      </rPr>
      <t xml:space="preserve">합계</t>
    </r>
  </si>
  <si>
    <r>
      <rPr>
        <b val="true"/>
        <sz val="10"/>
        <rFont val="맑은 고딕"/>
        <family val="0"/>
        <charset val="1"/>
      </rPr>
      <t xml:space="preserve">Cash Out
(</t>
    </r>
    <r>
      <rPr>
        <b val="true"/>
        <sz val="10"/>
        <rFont val="WenQuanYi Zen Hei"/>
        <family val="2"/>
      </rPr>
      <t xml:space="preserve">지출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</si>
  <si>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주거비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관리비</t>
    </r>
    <r>
      <rPr>
        <sz val="10"/>
        <rFont val="맑은 고딕"/>
        <family val="0"/>
        <charset val="1"/>
      </rPr>
      <t xml:space="preserve">)</t>
    </r>
  </si>
  <si>
    <t xml:space="preserve">식비</t>
  </si>
  <si>
    <r>
      <rPr>
        <sz val="10"/>
        <rFont val="WenQuanYi Zen Hei"/>
        <family val="2"/>
      </rPr>
      <t xml:space="preserve">교통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통신비</t>
    </r>
  </si>
  <si>
    <t xml:space="preserve">보험료</t>
  </si>
  <si>
    <t xml:space="preserve">대출원리금상환</t>
  </si>
  <si>
    <r>
      <rPr>
        <sz val="10"/>
        <rFont val="WenQuanYi Zen Hei"/>
        <family val="2"/>
      </rPr>
      <t xml:space="preserve">저축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투자</t>
    </r>
  </si>
  <si>
    <r>
      <rPr>
        <sz val="10"/>
        <rFont val="WenQuanYi Zen Hei"/>
        <family val="2"/>
      </rPr>
      <t xml:space="preserve">세금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공과금</t>
    </r>
  </si>
  <si>
    <t xml:space="preserve">기타지출</t>
  </si>
  <si>
    <r>
      <rPr>
        <b val="true"/>
        <sz val="10"/>
        <color rgb="FF1F3864"/>
        <rFont val="맑은 고딕"/>
        <family val="0"/>
        <charset val="1"/>
      </rPr>
      <t xml:space="preserve">Cash Out </t>
    </r>
    <r>
      <rPr>
        <b val="true"/>
        <sz val="10"/>
        <color rgb="FF1F3864"/>
        <rFont val="WenQuanYi Zen Hei"/>
        <family val="2"/>
      </rPr>
      <t xml:space="preserve">합계</t>
    </r>
  </si>
  <si>
    <r>
      <rPr>
        <b val="true"/>
        <sz val="10"/>
        <color rgb="FF1F3864"/>
        <rFont val="WenQuanYi Zen Hei"/>
        <family val="2"/>
      </rPr>
      <t xml:space="preserve">과부족 </t>
    </r>
    <r>
      <rPr>
        <b val="true"/>
        <sz val="10"/>
        <color rgb="FF1F3864"/>
        <rFont val="맑은 고딕"/>
        <family val="0"/>
        <charset val="1"/>
      </rPr>
      <t xml:space="preserve">(Cash In - Cash Out)</t>
    </r>
  </si>
  <si>
    <r>
      <rPr>
        <b val="true"/>
        <sz val="12"/>
        <color rgb="FFFFFFFF"/>
        <rFont val="WenQuanYi Zen Hei"/>
        <family val="2"/>
      </rPr>
      <t xml:space="preserve">월말잔고</t>
    </r>
    <r>
      <rPr>
        <b val="true"/>
        <sz val="12"/>
        <color rgb="FFFFFFFF"/>
        <rFont val="맑은 고딕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누적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</si>
  <si>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3"/>
        <rFont val="WenQuanYi Zen Hei"/>
        <family val="2"/>
      </rPr>
      <t xml:space="preserve">■ 고정 수입</t>
    </r>
    <r>
      <rPr>
        <b val="true"/>
        <sz val="13"/>
        <rFont val="맑은 고딕"/>
        <family val="0"/>
        <charset val="1"/>
      </rPr>
      <t xml:space="preserve">/</t>
    </r>
    <r>
      <rPr>
        <b val="true"/>
        <sz val="13"/>
        <rFont val="WenQuanYi Zen Hei"/>
        <family val="2"/>
      </rPr>
      <t xml:space="preserve">지출 관리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연간계획</t>
    </r>
    <r>
      <rPr>
        <b val="true"/>
        <sz val="13"/>
        <rFont val="맑은 고딕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맑은 고딕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맑은 고딕"/>
        <family val="0"/>
        <charset val="1"/>
      </rPr>
      <t xml:space="preserve">)</t>
    </r>
  </si>
  <si>
    <r>
      <rPr>
        <i val="true"/>
        <sz val="9"/>
        <color rgb="FF0070C0"/>
        <rFont val="WenQuanYi Zen Hei"/>
        <family val="2"/>
      </rPr>
      <t xml:space="preserve">※ 파란색 셀에 매월 고정적으로 발생하는 수입</t>
    </r>
    <r>
      <rPr>
        <i val="true"/>
        <sz val="9"/>
        <color rgb="FF0070C0"/>
        <rFont val="맑은 고딕"/>
        <family val="0"/>
        <charset val="1"/>
      </rPr>
      <t xml:space="preserve">/</t>
    </r>
    <r>
      <rPr>
        <i val="true"/>
        <sz val="9"/>
        <color rgb="FF0070C0"/>
        <rFont val="WenQuanYi Zen Hei"/>
        <family val="2"/>
      </rPr>
      <t xml:space="preserve">지출을 입력하세요</t>
    </r>
    <r>
      <rPr>
        <i val="true"/>
        <sz val="9"/>
        <color rgb="FF0070C0"/>
        <rFont val="맑은 고딕"/>
        <family val="0"/>
        <charset val="1"/>
      </rPr>
      <t xml:space="preserve">. </t>
    </r>
    <r>
      <rPr>
        <i val="true"/>
        <sz val="9"/>
        <color rgb="FF0070C0"/>
        <rFont val="WenQuanYi Zen Hei"/>
        <family val="2"/>
      </rPr>
      <t xml:space="preserve">연간합계 </t>
    </r>
    <r>
      <rPr>
        <i val="true"/>
        <sz val="9"/>
        <color rgb="FF0070C0"/>
        <rFont val="맑은 고딕"/>
        <family val="0"/>
        <charset val="1"/>
      </rPr>
      <t xml:space="preserve">= </t>
    </r>
    <r>
      <rPr>
        <i val="true"/>
        <sz val="9"/>
        <color rgb="FF0070C0"/>
        <rFont val="WenQuanYi Zen Hei"/>
        <family val="2"/>
      </rPr>
      <t xml:space="preserve">월금액 </t>
    </r>
    <r>
      <rPr>
        <i val="true"/>
        <sz val="9"/>
        <color rgb="FF0070C0"/>
        <rFont val="맑은 고딕"/>
        <family val="0"/>
        <charset val="1"/>
      </rPr>
      <t xml:space="preserve">× </t>
    </r>
    <r>
      <rPr>
        <i val="true"/>
        <sz val="9"/>
        <color rgb="FF0070C0"/>
        <rFont val="WenQuanYi Zen Hei"/>
        <family val="2"/>
      </rPr>
      <t xml:space="preserve">연횟수</t>
    </r>
  </si>
  <si>
    <t xml:space="preserve">항목</t>
  </si>
  <si>
    <r>
      <rPr>
        <b val="true"/>
        <sz val="10"/>
        <color rgb="FFFFFFFF"/>
        <rFont val="WenQuanYi Zen Hei"/>
        <family val="2"/>
      </rPr>
      <t xml:space="preserve">월금액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</si>
  <si>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연횟수</t>
  </si>
  <si>
    <r>
      <rPr>
        <b val="true"/>
        <sz val="10"/>
        <color rgb="FFFFFFFF"/>
        <rFont val="WenQuanYi Zen Hei"/>
        <family val="2"/>
      </rPr>
      <t xml:space="preserve">연간합계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</si>
  <si>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고정수입</t>
  </si>
  <si>
    <t xml:space="preserve">급여</t>
  </si>
  <si>
    <t xml:space="preserve">예시</t>
  </si>
  <si>
    <r>
      <rPr>
        <sz val="10"/>
        <rFont val="WenQuanYi Zen Hei"/>
        <family val="2"/>
      </rPr>
      <t xml:space="preserve">부수입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용돈</t>
    </r>
  </si>
  <si>
    <t xml:space="preserve">고정수입 소계</t>
  </si>
  <si>
    <t xml:space="preserve">고정지출</t>
  </si>
  <si>
    <r>
      <rPr>
        <sz val="10"/>
        <rFont val="WenQuanYi Zen Hei"/>
        <family val="2"/>
      </rPr>
      <t xml:space="preserve">월세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관리비</t>
    </r>
  </si>
  <si>
    <t xml:space="preserve">통신비</t>
  </si>
  <si>
    <r>
      <rPr>
        <sz val="10"/>
        <rFont val="WenQuanYi Zen Hei"/>
        <family val="2"/>
      </rPr>
      <t xml:space="preserve">구독료</t>
    </r>
    <r>
      <rPr>
        <sz val="10"/>
        <rFont val="맑은 고딕"/>
        <family val="0"/>
        <charset val="1"/>
      </rPr>
      <t xml:space="preserve">(OTT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</si>
  <si>
    <t xml:space="preserve">대출상환액</t>
  </si>
  <si>
    <r>
      <rPr>
        <sz val="10"/>
        <rFont val="WenQuanYi Zen Hei"/>
        <family val="2"/>
      </rPr>
      <t xml:space="preserve">적금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투자</t>
    </r>
  </si>
  <si>
    <t xml:space="preserve">기타</t>
  </si>
  <si>
    <t xml:space="preserve">고정지출 소계</t>
  </si>
  <si>
    <r>
      <rPr>
        <b val="true"/>
        <sz val="12"/>
        <color rgb="FFFFFFFF"/>
        <rFont val="WenQuanYi Zen Hei"/>
        <family val="2"/>
      </rPr>
      <t xml:space="preserve">연간 과부족 </t>
    </r>
    <r>
      <rPr>
        <b val="true"/>
        <sz val="12"/>
        <color rgb="FFFFFFFF"/>
        <rFont val="맑은 고딕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고정수입 </t>
    </r>
    <r>
      <rPr>
        <b val="true"/>
        <sz val="12"/>
        <color rgb="FFFFFFFF"/>
        <rFont val="맑은 고딕"/>
        <family val="0"/>
        <charset val="1"/>
      </rPr>
      <t xml:space="preserve">- </t>
    </r>
    <r>
      <rPr>
        <b val="true"/>
        <sz val="12"/>
        <color rgb="FFFFFFFF"/>
        <rFont val="WenQuanYi Zen Hei"/>
        <family val="2"/>
      </rPr>
      <t xml:space="preserve">고정지출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</si>
  <si>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3"/>
        <rFont val="WenQuanYi Zen Hei"/>
        <family val="2"/>
      </rPr>
      <t xml:space="preserve">■ 개인 자산현황 </t>
    </r>
    <r>
      <rPr>
        <b val="true"/>
        <sz val="13"/>
        <rFont val="맑은 고딕"/>
        <family val="0"/>
        <charset val="1"/>
      </rPr>
      <t xml:space="preserve">(2026</t>
    </r>
    <r>
      <rPr>
        <b val="true"/>
        <sz val="13"/>
        <rFont val="WenQuanYi Zen Hei"/>
        <family val="2"/>
      </rPr>
      <t xml:space="preserve">년 기준</t>
    </r>
    <r>
      <rPr>
        <b val="true"/>
        <sz val="13"/>
        <rFont val="맑은 고딕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맑은 고딕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맑은 고딕"/>
        <family val="0"/>
        <charset val="1"/>
      </rPr>
      <t xml:space="preserve">)</t>
    </r>
  </si>
  <si>
    <r>
      <rPr>
        <i val="true"/>
        <sz val="9"/>
        <color rgb="FF0070C0"/>
        <rFont val="WenQuanYi Zen Hei"/>
        <family val="2"/>
      </rPr>
      <t xml:space="preserve">※ 파란색 예시행을 참고하여 본인의 자산을 입력하세요</t>
    </r>
    <r>
      <rPr>
        <i val="true"/>
        <sz val="9"/>
        <color rgb="FF0070C0"/>
        <rFont val="맑은 고딕"/>
        <family val="0"/>
        <charset val="1"/>
      </rPr>
      <t xml:space="preserve">. </t>
    </r>
    <r>
      <rPr>
        <i val="true"/>
        <sz val="9"/>
        <color rgb="FF0070C0"/>
        <rFont val="WenQuanYi Zen Hei"/>
        <family val="2"/>
      </rPr>
      <t xml:space="preserve">행이 부족하면 소계 행 위에 행을 추가하세요</t>
    </r>
    <r>
      <rPr>
        <i val="true"/>
        <sz val="9"/>
        <color rgb="FF0070C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</si>
  <si>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금융기관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소재지</t>
    </r>
  </si>
  <si>
    <r>
      <rPr>
        <b val="true"/>
        <sz val="10"/>
        <color rgb="FFFFFFFF"/>
        <rFont val="WenQuanYi Zen Hei"/>
        <family val="2"/>
      </rPr>
      <t xml:space="preserve">평가금액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</si>
  <si>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취득일</t>
  </si>
  <si>
    <r>
      <rPr>
        <b val="true"/>
        <sz val="10"/>
        <rFont val="WenQuanYi Zen Hei"/>
        <family val="2"/>
      </rPr>
      <t xml:space="preserve">현금성자산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예금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적금</t>
    </r>
    <r>
      <rPr>
        <b val="true"/>
        <sz val="10"/>
        <rFont val="맑은 고딕"/>
        <family val="0"/>
        <charset val="1"/>
      </rPr>
      <t xml:space="preserve">)</t>
    </r>
  </si>
  <si>
    <t xml:space="preserve">급여통장</t>
  </si>
  <si>
    <r>
      <rPr>
        <sz val="10"/>
        <color rgb="FF0000FF"/>
        <rFont val="맑은 고딕"/>
        <family val="0"/>
        <charset val="1"/>
      </rPr>
      <t xml:space="preserve">OO</t>
    </r>
    <r>
      <rPr>
        <sz val="10"/>
        <color rgb="FF0000FF"/>
        <rFont val="WenQuanYi Zen Hei"/>
        <family val="2"/>
      </rPr>
      <t xml:space="preserve">은행</t>
    </r>
  </si>
  <si>
    <t xml:space="preserve">현금성자산 소계</t>
  </si>
  <si>
    <r>
      <rPr>
        <b val="true"/>
        <sz val="10"/>
        <rFont val="WenQuanYi Zen Hei"/>
        <family val="2"/>
      </rPr>
      <t xml:space="preserve">투자자산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주식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펀드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코인 등</t>
    </r>
    <r>
      <rPr>
        <b val="true"/>
        <sz val="10"/>
        <rFont val="맑은 고딕"/>
        <family val="0"/>
        <charset val="1"/>
      </rPr>
      <t xml:space="preserve">)</t>
    </r>
  </si>
  <si>
    <t xml:space="preserve">투자자산 소계</t>
  </si>
  <si>
    <t xml:space="preserve">부동산</t>
  </si>
  <si>
    <t xml:space="preserve">부동산 소계</t>
  </si>
  <si>
    <r>
      <rPr>
        <b val="true"/>
        <sz val="10"/>
        <rFont val="WenQuanYi Zen Hei"/>
        <family val="2"/>
      </rPr>
      <t xml:space="preserve">차량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기타동산</t>
    </r>
  </si>
  <si>
    <r>
      <rPr>
        <b val="true"/>
        <sz val="10"/>
        <color rgb="FF1F3864"/>
        <rFont val="WenQuanYi Zen Hei"/>
        <family val="2"/>
      </rPr>
      <t xml:space="preserve">차량</t>
    </r>
    <r>
      <rPr>
        <b val="true"/>
        <sz val="10"/>
        <color rgb="FF1F3864"/>
        <rFont val="맑은 고딕"/>
        <family val="0"/>
        <charset val="1"/>
      </rPr>
      <t xml:space="preserve">/</t>
    </r>
    <r>
      <rPr>
        <b val="true"/>
        <sz val="10"/>
        <color rgb="FF1F3864"/>
        <rFont val="WenQuanYi Zen Hei"/>
        <family val="2"/>
      </rPr>
      <t xml:space="preserve">기타동산 소계</t>
    </r>
  </si>
  <si>
    <t xml:space="preserve">기타자산</t>
  </si>
  <si>
    <t xml:space="preserve">기타자산 소계</t>
  </si>
  <si>
    <t xml:space="preserve">총자산 합계</t>
  </si>
  <si>
    <r>
      <rPr>
        <b val="true"/>
        <sz val="13"/>
        <rFont val="WenQuanYi Zen Hei"/>
        <family val="2"/>
      </rPr>
      <t xml:space="preserve">■ 개인 부채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대출</t>
    </r>
    <r>
      <rPr>
        <b val="true"/>
        <sz val="13"/>
        <rFont val="맑은 고딕"/>
        <family val="0"/>
        <charset val="1"/>
      </rPr>
      <t xml:space="preserve">)</t>
    </r>
    <r>
      <rPr>
        <b val="true"/>
        <sz val="13"/>
        <rFont val="WenQuanYi Zen Hei"/>
        <family val="2"/>
      </rPr>
      <t xml:space="preserve">현황 </t>
    </r>
    <r>
      <rPr>
        <b val="true"/>
        <sz val="13"/>
        <rFont val="맑은 고딕"/>
        <family val="0"/>
        <charset val="1"/>
      </rPr>
      <t xml:space="preserve">(2026</t>
    </r>
    <r>
      <rPr>
        <b val="true"/>
        <sz val="13"/>
        <rFont val="WenQuanYi Zen Hei"/>
        <family val="2"/>
      </rPr>
      <t xml:space="preserve">년 기준</t>
    </r>
    <r>
      <rPr>
        <b val="true"/>
        <sz val="13"/>
        <rFont val="맑은 고딕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맑은 고딕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맑은 고딕"/>
        <family val="0"/>
        <charset val="1"/>
      </rPr>
      <t xml:space="preserve">)</t>
    </r>
  </si>
  <si>
    <r>
      <rPr>
        <i val="true"/>
        <sz val="9"/>
        <color rgb="FF0070C0"/>
        <rFont val="WenQuanYi Zen Hei"/>
        <family val="2"/>
      </rPr>
      <t xml:space="preserve">※ 파란색 예시행을 참고하여 본인의 대출을 입력하세요</t>
    </r>
    <r>
      <rPr>
        <i val="true"/>
        <sz val="9"/>
        <color rgb="FF0070C0"/>
        <rFont val="맑은 고딕"/>
        <family val="0"/>
        <charset val="1"/>
      </rPr>
      <t xml:space="preserve">.</t>
    </r>
  </si>
  <si>
    <t xml:space="preserve">금융기관</t>
  </si>
  <si>
    <t xml:space="preserve">상품명</t>
  </si>
  <si>
    <t xml:space="preserve">대출일</t>
  </si>
  <si>
    <t xml:space="preserve">만기일</t>
  </si>
  <si>
    <t xml:space="preserve">상환일</t>
  </si>
  <si>
    <t xml:space="preserve">금리</t>
  </si>
  <si>
    <r>
      <rPr>
        <b val="true"/>
        <sz val="10"/>
        <color rgb="FFFFFFFF"/>
        <rFont val="WenQuanYi Zen Hei"/>
        <family val="2"/>
      </rPr>
      <t xml:space="preserve">최초대출금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</si>
  <si>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현재잔액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</si>
  <si>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월상환액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</si>
  <si>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신용대출</t>
  </si>
  <si>
    <t xml:space="preserve">개인신용대출</t>
  </si>
  <si>
    <r>
      <rPr>
        <sz val="10"/>
        <color rgb="FF0000FF"/>
        <rFont val="WenQuanYi Zen Hei"/>
        <family val="2"/>
      </rPr>
      <t xml:space="preserve">매월 </t>
    </r>
    <r>
      <rPr>
        <sz val="10"/>
        <color rgb="FF0000FF"/>
        <rFont val="맑은 고딕"/>
        <family val="0"/>
        <charset val="1"/>
      </rPr>
      <t xml:space="preserve">25</t>
    </r>
    <r>
      <rPr>
        <sz val="10"/>
        <color rgb="FF0000FF"/>
        <rFont val="WenQuanYi Zen Hei"/>
        <family val="2"/>
      </rPr>
      <t xml:space="preserve">일</t>
    </r>
  </si>
  <si>
    <r>
      <rPr>
        <b val="true"/>
        <sz val="13"/>
        <rFont val="WenQuanYi Zen Hei"/>
        <family val="2"/>
      </rPr>
      <t xml:space="preserve">■ 일별 가계부 </t>
    </r>
    <r>
      <rPr>
        <b val="true"/>
        <sz val="13"/>
        <rFont val="맑은 고딕"/>
        <family val="0"/>
        <charset val="1"/>
      </rPr>
      <t xml:space="preserve">(2026</t>
    </r>
    <r>
      <rPr>
        <b val="true"/>
        <sz val="13"/>
        <rFont val="WenQuanYi Zen Hei"/>
        <family val="2"/>
      </rPr>
      <t xml:space="preserve">년</t>
    </r>
    <r>
      <rPr>
        <b val="true"/>
        <sz val="13"/>
        <rFont val="맑은 고딕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맑은 고딕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맑은 고딕"/>
        <family val="0"/>
        <charset val="1"/>
      </rPr>
      <t xml:space="preserve">)</t>
    </r>
  </si>
  <si>
    <r>
      <rPr>
        <i val="true"/>
        <sz val="9"/>
        <color rgb="FF0070C0"/>
        <rFont val="WenQuanYi Zen Hei"/>
        <family val="2"/>
      </rPr>
      <t xml:space="preserve">※ 거래가 발생할 때마다 한 줄씩 입력하세요</t>
    </r>
    <r>
      <rPr>
        <i val="true"/>
        <sz val="9"/>
        <color rgb="FF0070C0"/>
        <rFont val="맑은 고딕"/>
        <family val="0"/>
        <charset val="1"/>
      </rPr>
      <t xml:space="preserve">. G</t>
    </r>
    <r>
      <rPr>
        <i val="true"/>
        <sz val="9"/>
        <color rgb="FF0070C0"/>
        <rFont val="WenQuanYi Zen Hei"/>
        <family val="2"/>
      </rPr>
      <t xml:space="preserve">열</t>
    </r>
    <r>
      <rPr>
        <i val="true"/>
        <sz val="9"/>
        <color rgb="FF0070C0"/>
        <rFont val="맑은 고딕"/>
        <family val="0"/>
        <charset val="1"/>
      </rPr>
      <t xml:space="preserve">(</t>
    </r>
    <r>
      <rPr>
        <i val="true"/>
        <sz val="9"/>
        <color rgb="FF0070C0"/>
        <rFont val="WenQuanYi Zen Hei"/>
        <family val="2"/>
      </rPr>
      <t xml:space="preserve">잔액</t>
    </r>
    <r>
      <rPr>
        <i val="true"/>
        <sz val="9"/>
        <color rgb="FF0070C0"/>
        <rFont val="맑은 고딕"/>
        <family val="0"/>
        <charset val="1"/>
      </rPr>
      <t xml:space="preserve">)</t>
    </r>
    <r>
      <rPr>
        <i val="true"/>
        <sz val="9"/>
        <color rgb="FF0070C0"/>
        <rFont val="WenQuanYi Zen Hei"/>
        <family val="2"/>
      </rPr>
      <t xml:space="preserve">은 자동으로 계산됩니다</t>
    </r>
    <r>
      <rPr>
        <i val="true"/>
        <sz val="9"/>
        <color rgb="FF0070C0"/>
        <rFont val="맑은 고딕"/>
        <family val="0"/>
        <charset val="1"/>
      </rPr>
      <t xml:space="preserve">.</t>
    </r>
  </si>
  <si>
    <t xml:space="preserve">기초잔액</t>
  </si>
  <si>
    <t xml:space="preserve">날짜</t>
  </si>
  <si>
    <t xml:space="preserve">카테고리</t>
  </si>
  <si>
    <t xml:space="preserve">내용</t>
  </si>
  <si>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</si>
  <si>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지출금액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</si>
  <si>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잔액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</si>
  <si>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지출</t>
  </si>
  <si>
    <t xml:space="preserve">점심 식사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</si>
</sst>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;[RED]\(#,##0\)"/>
    <numFmt numFmtId="167" formatCode="0.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맑은 고딕"/>
      <family val="0"/>
      <charset val="1"/>
    </font>
    <font>
      <i val="true"/>
      <sz val="9"/>
      <color rgb="FF0070C0"/>
      <name val="WenQuanYi Zen Hei"/>
      <family val="2"/>
    </font>
    <font>
      <i val="true"/>
      <sz val="9"/>
      <color rgb="FF0070C0"/>
      <name val="맑은 고딕"/>
      <family val="0"/>
      <charset val="1"/>
    </font>
    <font>
      <b val="true"/>
      <sz val="10"/>
      <name val="WenQuanYi Zen Hei"/>
      <family val="2"/>
    </font>
    <font>
      <sz val="10"/>
      <color rgb="FF0000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8000"/>
      <name val="맑은 고딕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2"/>
      <color rgb="FFFFFFFF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0070C0"/>
      </patternFill>
    </fill>
    <fill>
      <patternFill patternType="solid">
        <fgColor rgb="FFD9E1F2"/>
        <bgColor rgb="FFD6E4F0"/>
      </patternFill>
    </fill>
    <fill>
      <patternFill patternType="solid">
        <fgColor rgb="FFD6E4F0"/>
        <bgColor rgb="FFD9E1F2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6E4F0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13" min="4" style="0" width="11"/>
    <col collapsed="false" customWidth="true" hidden="false" outlineLevel="0" max="14" min="14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4" t="n">
        <v>46226</v>
      </c>
      <c r="C4" s="4"/>
    </row>
    <row r="6" customFormat="false" ht="18" hidden="false" customHeight="true" outlineLevel="0" collapsed="false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6" t="s">
        <v>4</v>
      </c>
      <c r="B7" s="6"/>
      <c r="C7" s="7" t="n">
        <f aca="false">자산현황!D32</f>
        <v>5000000</v>
      </c>
      <c r="D7" s="7"/>
    </row>
    <row r="8" customFormat="false" ht="15" hidden="false" customHeight="true" outlineLevel="0" collapsed="false">
      <c r="A8" s="6" t="s">
        <v>5</v>
      </c>
      <c r="B8" s="6"/>
      <c r="C8" s="7" t="n">
        <f aca="false">부채현황!I12</f>
        <v>22000000</v>
      </c>
      <c r="D8" s="7"/>
    </row>
    <row r="9" customFormat="false" ht="19.5" hidden="false" customHeight="true" outlineLevel="0" collapsed="false">
      <c r="A9" s="8" t="s">
        <v>6</v>
      </c>
      <c r="B9" s="8"/>
      <c r="C9" s="9" t="n">
        <f aca="false">C7-C8</f>
        <v>-17000000</v>
      </c>
      <c r="D9" s="9"/>
    </row>
    <row r="11" customFormat="false" ht="18" hidden="false" customHeight="true" outlineLevel="0" collapsed="false">
      <c r="A11" s="5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10" t="s">
        <v>8</v>
      </c>
      <c r="B12" s="11" t="s">
        <v>9</v>
      </c>
      <c r="C12" s="11" t="s">
        <v>10</v>
      </c>
      <c r="D12" s="11" t="s">
        <v>11</v>
      </c>
      <c r="E12" s="11" t="s">
        <v>12</v>
      </c>
      <c r="F12" s="11" t="s">
        <v>13</v>
      </c>
      <c r="G12" s="11" t="s">
        <v>14</v>
      </c>
      <c r="H12" s="11" t="s">
        <v>15</v>
      </c>
      <c r="I12" s="11" t="s">
        <v>16</v>
      </c>
      <c r="J12" s="11" t="s">
        <v>17</v>
      </c>
      <c r="K12" s="11" t="s">
        <v>18</v>
      </c>
      <c r="L12" s="11" t="s">
        <v>19</v>
      </c>
      <c r="M12" s="11" t="s">
        <v>20</v>
      </c>
      <c r="N12" s="10" t="s">
        <v>21</v>
      </c>
    </row>
    <row r="13" customFormat="false" ht="15" hidden="false" customHeight="false" outlineLevel="0" collapsed="false">
      <c r="A13" s="12" t="s">
        <v>22</v>
      </c>
      <c r="B13" s="13" t="n">
        <f aca="false">월별자금수지!D12</f>
        <v>0</v>
      </c>
      <c r="C13" s="13" t="n">
        <f aca="false">월별자금수지!E12</f>
        <v>0</v>
      </c>
      <c r="D13" s="13" t="n">
        <f aca="false">월별자금수지!F12</f>
        <v>0</v>
      </c>
      <c r="E13" s="13" t="n">
        <f aca="false">월별자금수지!G12</f>
        <v>0</v>
      </c>
      <c r="F13" s="13" t="n">
        <f aca="false">월별자금수지!H12</f>
        <v>0</v>
      </c>
      <c r="G13" s="13" t="n">
        <f aca="false">월별자금수지!I12</f>
        <v>0</v>
      </c>
      <c r="H13" s="13" t="n">
        <f aca="false">월별자금수지!J12</f>
        <v>0</v>
      </c>
      <c r="I13" s="13" t="n">
        <f aca="false">월별자금수지!K12</f>
        <v>0</v>
      </c>
      <c r="J13" s="13" t="n">
        <f aca="false">월별자금수지!L12</f>
        <v>0</v>
      </c>
      <c r="K13" s="13" t="n">
        <f aca="false">월별자금수지!M12</f>
        <v>0</v>
      </c>
      <c r="L13" s="13" t="n">
        <f aca="false">월별자금수지!N12</f>
        <v>0</v>
      </c>
      <c r="M13" s="13" t="n">
        <f aca="false">월별자금수지!O12</f>
        <v>0</v>
      </c>
      <c r="N13" s="13" t="n">
        <f aca="false">월별자금수지!C12</f>
        <v>0</v>
      </c>
    </row>
    <row r="14" customFormat="false" ht="15" hidden="false" customHeight="false" outlineLevel="0" collapsed="false">
      <c r="A14" s="12" t="s">
        <v>23</v>
      </c>
      <c r="B14" s="13" t="n">
        <f aca="false">월별자금수지!D22</f>
        <v>0</v>
      </c>
      <c r="C14" s="13" t="n">
        <f aca="false">월별자금수지!E22</f>
        <v>0</v>
      </c>
      <c r="D14" s="13" t="n">
        <f aca="false">월별자금수지!F22</f>
        <v>0</v>
      </c>
      <c r="E14" s="13" t="n">
        <f aca="false">월별자금수지!G22</f>
        <v>0</v>
      </c>
      <c r="F14" s="13" t="n">
        <f aca="false">월별자금수지!H22</f>
        <v>0</v>
      </c>
      <c r="G14" s="13" t="n">
        <f aca="false">월별자금수지!I22</f>
        <v>0</v>
      </c>
      <c r="H14" s="13" t="n">
        <f aca="false">월별자금수지!J22</f>
        <v>0</v>
      </c>
      <c r="I14" s="13" t="n">
        <f aca="false">월별자금수지!K22</f>
        <v>0</v>
      </c>
      <c r="J14" s="13" t="n">
        <f aca="false">월별자금수지!L22</f>
        <v>0</v>
      </c>
      <c r="K14" s="13" t="n">
        <f aca="false">월별자금수지!M22</f>
        <v>0</v>
      </c>
      <c r="L14" s="13" t="n">
        <f aca="false">월별자금수지!N22</f>
        <v>0</v>
      </c>
      <c r="M14" s="13" t="n">
        <f aca="false">월별자금수지!O22</f>
        <v>0</v>
      </c>
      <c r="N14" s="13" t="n">
        <f aca="false">월별자금수지!C22</f>
        <v>0</v>
      </c>
    </row>
    <row r="15" customFormat="false" ht="15" hidden="false" customHeight="false" outlineLevel="0" collapsed="false">
      <c r="A15" s="6" t="s">
        <v>24</v>
      </c>
      <c r="B15" s="13" t="n">
        <f aca="false">월별자금수지!D24</f>
        <v>0</v>
      </c>
      <c r="C15" s="13" t="n">
        <f aca="false">월별자금수지!E24</f>
        <v>0</v>
      </c>
      <c r="D15" s="13" t="n">
        <f aca="false">월별자금수지!F24</f>
        <v>0</v>
      </c>
      <c r="E15" s="13" t="n">
        <f aca="false">월별자금수지!G24</f>
        <v>0</v>
      </c>
      <c r="F15" s="13" t="n">
        <f aca="false">월별자금수지!H24</f>
        <v>0</v>
      </c>
      <c r="G15" s="13" t="n">
        <f aca="false">월별자금수지!I24</f>
        <v>0</v>
      </c>
      <c r="H15" s="13" t="n">
        <f aca="false">월별자금수지!J24</f>
        <v>0</v>
      </c>
      <c r="I15" s="13" t="n">
        <f aca="false">월별자금수지!K24</f>
        <v>0</v>
      </c>
      <c r="J15" s="13" t="n">
        <f aca="false">월별자금수지!L24</f>
        <v>0</v>
      </c>
      <c r="K15" s="13" t="n">
        <f aca="false">월별자금수지!M24</f>
        <v>0</v>
      </c>
      <c r="L15" s="13" t="n">
        <f aca="false">월별자금수지!N24</f>
        <v>0</v>
      </c>
      <c r="M15" s="13" t="n">
        <f aca="false">월별자금수지!O24</f>
        <v>0</v>
      </c>
      <c r="N15" s="13" t="n">
        <f aca="false">월별자금수지!C24</f>
        <v>0</v>
      </c>
    </row>
    <row r="16" customFormat="false" ht="15" hidden="false" customHeight="false" outlineLevel="0" collapsed="false">
      <c r="A16" s="6" t="s">
        <v>25</v>
      </c>
      <c r="B16" s="13" t="n">
        <f aca="false">월별자금수지!D25</f>
        <v>0</v>
      </c>
      <c r="C16" s="13" t="n">
        <f aca="false">월별자금수지!E25</f>
        <v>0</v>
      </c>
      <c r="D16" s="13" t="n">
        <f aca="false">월별자금수지!F25</f>
        <v>0</v>
      </c>
      <c r="E16" s="13" t="n">
        <f aca="false">월별자금수지!G25</f>
        <v>0</v>
      </c>
      <c r="F16" s="13" t="n">
        <f aca="false">월별자금수지!H25</f>
        <v>0</v>
      </c>
      <c r="G16" s="13" t="n">
        <f aca="false">월별자금수지!I25</f>
        <v>0</v>
      </c>
      <c r="H16" s="13" t="n">
        <f aca="false">월별자금수지!J25</f>
        <v>0</v>
      </c>
      <c r="I16" s="13" t="n">
        <f aca="false">월별자금수지!K25</f>
        <v>0</v>
      </c>
      <c r="J16" s="13" t="n">
        <f aca="false">월별자금수지!L25</f>
        <v>0</v>
      </c>
      <c r="K16" s="13" t="n">
        <f aca="false">월별자금수지!M25</f>
        <v>0</v>
      </c>
      <c r="L16" s="13" t="n">
        <f aca="false">월별자금수지!N25</f>
        <v>0</v>
      </c>
      <c r="M16" s="13" t="n">
        <f aca="false">월별자금수지!O25</f>
        <v>0</v>
      </c>
      <c r="N16" s="13" t="n">
        <f aca="false">월별자금수지!C25</f>
        <v>0</v>
      </c>
    </row>
  </sheetData>
  <mergeCells count="11">
    <mergeCell ref="A1:N1"/>
    <mergeCell ref="A2:N2"/>
    <mergeCell ref="B4:C4"/>
    <mergeCell ref="A6:N6"/>
    <mergeCell ref="A7:B7"/>
    <mergeCell ref="C7:D7"/>
    <mergeCell ref="A8:B8"/>
    <mergeCell ref="C8:D8"/>
    <mergeCell ref="A9:B9"/>
    <mergeCell ref="C9:D9"/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15" min="4" style="0" width="10.5"/>
    <col collapsed="false" customWidth="true" hidden="false" outlineLevel="0" max="16" min="16" style="0" width="14"/>
  </cols>
  <sheetData>
    <row r="1" customFormat="false" ht="24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8" hidden="false" customHeight="true" outlineLevel="0" collapsed="false">
      <c r="A4" s="10" t="s">
        <v>8</v>
      </c>
      <c r="B4" s="10" t="s">
        <v>28</v>
      </c>
      <c r="C4" s="10" t="s">
        <v>21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  <c r="N4" s="11" t="s">
        <v>19</v>
      </c>
      <c r="O4" s="11" t="s">
        <v>20</v>
      </c>
      <c r="P4" s="10" t="s">
        <v>29</v>
      </c>
    </row>
    <row r="5" customFormat="false" ht="15" hidden="false" customHeight="true" outlineLevel="0" collapsed="false">
      <c r="A5" s="14" t="s">
        <v>30</v>
      </c>
      <c r="B5" s="14"/>
      <c r="C5" s="15" t="n">
        <f aca="false">D5</f>
        <v>0</v>
      </c>
      <c r="D5" s="16" t="n">
        <v>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 t="s">
        <v>31</v>
      </c>
    </row>
    <row r="7" customFormat="false" ht="15" hidden="false" customHeight="true" outlineLevel="0" collapsed="false">
      <c r="A7" s="19" t="s">
        <v>32</v>
      </c>
      <c r="B7" s="20" t="s">
        <v>33</v>
      </c>
      <c r="C7" s="15" t="n">
        <f aca="false">SUM(D7:O7)</f>
        <v>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</row>
    <row r="8" customFormat="false" ht="15" hidden="false" customHeight="false" outlineLevel="0" collapsed="false">
      <c r="A8" s="19"/>
      <c r="B8" s="20" t="s">
        <v>34</v>
      </c>
      <c r="C8" s="15" t="n">
        <f aca="false">SUM(D8:O8)</f>
        <v>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</row>
    <row r="9" customFormat="false" ht="15" hidden="false" customHeight="false" outlineLevel="0" collapsed="false">
      <c r="A9" s="19"/>
      <c r="B9" s="20" t="s">
        <v>35</v>
      </c>
      <c r="C9" s="15" t="n">
        <f aca="false">SUM(D9:O9)</f>
        <v>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</row>
    <row r="10" customFormat="false" ht="15" hidden="false" customHeight="false" outlineLevel="0" collapsed="false">
      <c r="A10" s="19"/>
      <c r="B10" s="20" t="s">
        <v>36</v>
      </c>
      <c r="C10" s="15" t="n">
        <f aca="false">SUM(D10:O10)</f>
        <v>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customFormat="false" ht="15" hidden="false" customHeight="false" outlineLevel="0" collapsed="false">
      <c r="A11" s="19"/>
      <c r="B11" s="20"/>
      <c r="C11" s="15" t="n">
        <f aca="false">SUM(D11:O11)</f>
        <v>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</row>
    <row r="12" customFormat="false" ht="15" hidden="false" customHeight="true" outlineLevel="0" collapsed="false">
      <c r="A12" s="21" t="s">
        <v>37</v>
      </c>
      <c r="B12" s="21"/>
      <c r="C12" s="22" t="n">
        <f aca="false">SUM(C7:C11)</f>
        <v>0</v>
      </c>
      <c r="D12" s="22" t="n">
        <f aca="false">SUM(D7:D11)</f>
        <v>0</v>
      </c>
      <c r="E12" s="22" t="n">
        <f aca="false">SUM(E7:E11)</f>
        <v>0</v>
      </c>
      <c r="F12" s="22" t="n">
        <f aca="false">SUM(F7:F11)</f>
        <v>0</v>
      </c>
      <c r="G12" s="22" t="n">
        <f aca="false">SUM(G7:G11)</f>
        <v>0</v>
      </c>
      <c r="H12" s="22" t="n">
        <f aca="false">SUM(H7:H11)</f>
        <v>0</v>
      </c>
      <c r="I12" s="22" t="n">
        <f aca="false">SUM(I7:I11)</f>
        <v>0</v>
      </c>
      <c r="J12" s="22" t="n">
        <f aca="false">SUM(J7:J11)</f>
        <v>0</v>
      </c>
      <c r="K12" s="22" t="n">
        <f aca="false">SUM(K7:K11)</f>
        <v>0</v>
      </c>
      <c r="L12" s="22" t="n">
        <f aca="false">SUM(L7:L11)</f>
        <v>0</v>
      </c>
      <c r="M12" s="22" t="n">
        <f aca="false">SUM(M7:M11)</f>
        <v>0</v>
      </c>
      <c r="N12" s="22" t="n">
        <f aca="false">SUM(N7:N11)</f>
        <v>0</v>
      </c>
      <c r="O12" s="22" t="n">
        <f aca="false">SUM(O7:O11)</f>
        <v>0</v>
      </c>
      <c r="P12" s="17"/>
    </row>
    <row r="14" customFormat="false" ht="15" hidden="false" customHeight="true" outlineLevel="0" collapsed="false">
      <c r="A14" s="19" t="s">
        <v>38</v>
      </c>
      <c r="B14" s="20" t="s">
        <v>39</v>
      </c>
      <c r="C14" s="15" t="n">
        <f aca="false">SUM(D14:O14)</f>
        <v>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</row>
    <row r="15" customFormat="false" ht="15" hidden="false" customHeight="false" outlineLevel="0" collapsed="false">
      <c r="A15" s="19"/>
      <c r="B15" s="20" t="s">
        <v>40</v>
      </c>
      <c r="C15" s="15" t="n">
        <f aca="false">SUM(D15:O15)</f>
        <v>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</row>
    <row r="16" customFormat="false" ht="15" hidden="false" customHeight="false" outlineLevel="0" collapsed="false">
      <c r="A16" s="19"/>
      <c r="B16" s="20" t="s">
        <v>41</v>
      </c>
      <c r="C16" s="15" t="n">
        <f aca="false">SUM(D16:O16)</f>
        <v>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  <row r="17" customFormat="false" ht="15" hidden="false" customHeight="false" outlineLevel="0" collapsed="false">
      <c r="A17" s="19"/>
      <c r="B17" s="20" t="s">
        <v>42</v>
      </c>
      <c r="C17" s="15" t="n">
        <f aca="false">SUM(D17:O17)</f>
        <v>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</row>
    <row r="18" customFormat="false" ht="15" hidden="false" customHeight="false" outlineLevel="0" collapsed="false">
      <c r="A18" s="19"/>
      <c r="B18" s="20" t="s">
        <v>43</v>
      </c>
      <c r="C18" s="15" t="n">
        <f aca="false">SUM(D18:O18)</f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</row>
    <row r="19" customFormat="false" ht="15" hidden="false" customHeight="false" outlineLevel="0" collapsed="false">
      <c r="A19" s="19"/>
      <c r="B19" s="20" t="s">
        <v>44</v>
      </c>
      <c r="C19" s="15" t="n">
        <f aca="false">SUM(D19:O19)</f>
        <v>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</row>
    <row r="20" customFormat="false" ht="15" hidden="false" customHeight="false" outlineLevel="0" collapsed="false">
      <c r="A20" s="19"/>
      <c r="B20" s="20" t="s">
        <v>45</v>
      </c>
      <c r="C20" s="15" t="n">
        <f aca="false">SUM(D20:O20)</f>
        <v>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</row>
    <row r="21" customFormat="false" ht="15" hidden="false" customHeight="false" outlineLevel="0" collapsed="false">
      <c r="A21" s="19"/>
      <c r="B21" s="20" t="s">
        <v>46</v>
      </c>
      <c r="C21" s="15" t="n">
        <f aca="false">SUM(D21:O21)</f>
        <v>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customFormat="false" ht="15" hidden="false" customHeight="true" outlineLevel="0" collapsed="false">
      <c r="A22" s="21" t="s">
        <v>47</v>
      </c>
      <c r="B22" s="21"/>
      <c r="C22" s="22" t="n">
        <f aca="false">SUM(C14:C21)</f>
        <v>0</v>
      </c>
      <c r="D22" s="22" t="n">
        <f aca="false">SUM(D14:D21)</f>
        <v>0</v>
      </c>
      <c r="E22" s="22" t="n">
        <f aca="false">SUM(E14:E21)</f>
        <v>0</v>
      </c>
      <c r="F22" s="22" t="n">
        <f aca="false">SUM(F14:F21)</f>
        <v>0</v>
      </c>
      <c r="G22" s="22" t="n">
        <f aca="false">SUM(G14:G21)</f>
        <v>0</v>
      </c>
      <c r="H22" s="22" t="n">
        <f aca="false">SUM(H14:H21)</f>
        <v>0</v>
      </c>
      <c r="I22" s="22" t="n">
        <f aca="false">SUM(I14:I21)</f>
        <v>0</v>
      </c>
      <c r="J22" s="22" t="n">
        <f aca="false">SUM(J14:J21)</f>
        <v>0</v>
      </c>
      <c r="K22" s="22" t="n">
        <f aca="false">SUM(K14:K21)</f>
        <v>0</v>
      </c>
      <c r="L22" s="22" t="n">
        <f aca="false">SUM(L14:L21)</f>
        <v>0</v>
      </c>
      <c r="M22" s="22" t="n">
        <f aca="false">SUM(M14:M21)</f>
        <v>0</v>
      </c>
      <c r="N22" s="22" t="n">
        <f aca="false">SUM(N14:N21)</f>
        <v>0</v>
      </c>
      <c r="O22" s="22" t="n">
        <f aca="false">SUM(O14:O21)</f>
        <v>0</v>
      </c>
      <c r="P22" s="17"/>
    </row>
    <row r="24" customFormat="false" ht="15" hidden="false" customHeight="true" outlineLevel="0" collapsed="false">
      <c r="A24" s="23" t="s">
        <v>48</v>
      </c>
      <c r="B24" s="23"/>
      <c r="C24" s="24" t="n">
        <f aca="false">C12-C22</f>
        <v>0</v>
      </c>
      <c r="D24" s="24" t="n">
        <f aca="false">D12-D22</f>
        <v>0</v>
      </c>
      <c r="E24" s="24" t="n">
        <f aca="false">E12-E22</f>
        <v>0</v>
      </c>
      <c r="F24" s="24" t="n">
        <f aca="false">F12-F22</f>
        <v>0</v>
      </c>
      <c r="G24" s="24" t="n">
        <f aca="false">G12-G22</f>
        <v>0</v>
      </c>
      <c r="H24" s="24" t="n">
        <f aca="false">H12-H22</f>
        <v>0</v>
      </c>
      <c r="I24" s="24" t="n">
        <f aca="false">I12-I22</f>
        <v>0</v>
      </c>
      <c r="J24" s="24" t="n">
        <f aca="false">J12-J22</f>
        <v>0</v>
      </c>
      <c r="K24" s="24" t="n">
        <f aca="false">K12-K22</f>
        <v>0</v>
      </c>
      <c r="L24" s="24" t="n">
        <f aca="false">L12-L22</f>
        <v>0</v>
      </c>
      <c r="M24" s="24" t="n">
        <f aca="false">M12-M22</f>
        <v>0</v>
      </c>
      <c r="N24" s="24" t="n">
        <f aca="false">N12-N22</f>
        <v>0</v>
      </c>
      <c r="O24" s="24" t="n">
        <f aca="false">O12-O22</f>
        <v>0</v>
      </c>
      <c r="P24" s="17"/>
    </row>
    <row r="25" customFormat="false" ht="16.4" hidden="false" customHeight="true" outlineLevel="0" collapsed="false">
      <c r="A25" s="25" t="s">
        <v>49</v>
      </c>
      <c r="B25" s="25"/>
      <c r="C25" s="26" t="n">
        <f aca="false">O25</f>
        <v>0</v>
      </c>
      <c r="D25" s="26" t="n">
        <f aca="false">D5+D24</f>
        <v>0</v>
      </c>
      <c r="E25" s="26" t="n">
        <f aca="false">D25+E24</f>
        <v>0</v>
      </c>
      <c r="F25" s="26" t="n">
        <f aca="false">E25+F24</f>
        <v>0</v>
      </c>
      <c r="G25" s="26" t="n">
        <f aca="false">F25+G24</f>
        <v>0</v>
      </c>
      <c r="H25" s="26" t="n">
        <f aca="false">G25+H24</f>
        <v>0</v>
      </c>
      <c r="I25" s="26" t="n">
        <f aca="false">H25+I24</f>
        <v>0</v>
      </c>
      <c r="J25" s="26" t="n">
        <f aca="false">I25+J24</f>
        <v>0</v>
      </c>
      <c r="K25" s="26" t="n">
        <f aca="false">J25+K24</f>
        <v>0</v>
      </c>
      <c r="L25" s="26" t="n">
        <f aca="false">K25+L24</f>
        <v>0</v>
      </c>
      <c r="M25" s="26" t="n">
        <f aca="false">L25+M24</f>
        <v>0</v>
      </c>
      <c r="N25" s="26" t="n">
        <f aca="false">M25+N24</f>
        <v>0</v>
      </c>
      <c r="O25" s="26" t="n">
        <f aca="false">N25+O24</f>
        <v>0</v>
      </c>
      <c r="P25" s="27"/>
    </row>
  </sheetData>
  <mergeCells count="9">
    <mergeCell ref="A1:P1"/>
    <mergeCell ref="A2:P2"/>
    <mergeCell ref="A5:B5"/>
    <mergeCell ref="A7:A11"/>
    <mergeCell ref="A12:B12"/>
    <mergeCell ref="A14:A21"/>
    <mergeCell ref="A22:B22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24" hidden="false" customHeight="true" outlineLevel="0" collapsed="false">
      <c r="A1" s="1" t="s">
        <v>50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51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10" t="s">
        <v>8</v>
      </c>
      <c r="B4" s="10" t="s">
        <v>52</v>
      </c>
      <c r="C4" s="10" t="s">
        <v>53</v>
      </c>
      <c r="D4" s="10" t="s">
        <v>54</v>
      </c>
      <c r="E4" s="10" t="s">
        <v>55</v>
      </c>
      <c r="F4" s="10" t="s">
        <v>29</v>
      </c>
    </row>
    <row r="5" customFormat="false" ht="15" hidden="false" customHeight="true" outlineLevel="0" collapsed="false">
      <c r="A5" s="14" t="s">
        <v>56</v>
      </c>
      <c r="B5" s="28" t="s">
        <v>57</v>
      </c>
      <c r="C5" s="29" t="n">
        <v>3000000</v>
      </c>
      <c r="D5" s="30" t="n">
        <v>12</v>
      </c>
      <c r="E5" s="31" t="n">
        <f aca="false">C5*D5</f>
        <v>36000000</v>
      </c>
      <c r="F5" s="32" t="s">
        <v>58</v>
      </c>
    </row>
    <row r="6" customFormat="false" ht="15" hidden="false" customHeight="false" outlineLevel="0" collapsed="false">
      <c r="A6" s="14"/>
      <c r="B6" s="20" t="s">
        <v>59</v>
      </c>
      <c r="C6" s="16"/>
      <c r="D6" s="33" t="n">
        <v>12</v>
      </c>
      <c r="E6" s="15" t="n">
        <f aca="false">C6*D6</f>
        <v>0</v>
      </c>
      <c r="F6" s="17"/>
    </row>
    <row r="7" customFormat="false" ht="15" hidden="false" customHeight="false" outlineLevel="0" collapsed="false">
      <c r="A7" s="14"/>
      <c r="B7" s="20"/>
      <c r="C7" s="16"/>
      <c r="D7" s="33" t="n">
        <v>12</v>
      </c>
      <c r="E7" s="15" t="n">
        <f aca="false">C7*D7</f>
        <v>0</v>
      </c>
      <c r="F7" s="17"/>
    </row>
    <row r="8" customFormat="false" ht="15" hidden="false" customHeight="true" outlineLevel="0" collapsed="false">
      <c r="A8" s="34" t="s">
        <v>60</v>
      </c>
      <c r="B8" s="34"/>
      <c r="C8" s="34"/>
      <c r="D8" s="34"/>
      <c r="E8" s="22" t="n">
        <f aca="false">SUM(E5:E7)</f>
        <v>36000000</v>
      </c>
      <c r="F8" s="17"/>
    </row>
    <row r="10" customFormat="false" ht="15" hidden="false" customHeight="true" outlineLevel="0" collapsed="false">
      <c r="A10" s="14" t="s">
        <v>61</v>
      </c>
      <c r="B10" s="35" t="s">
        <v>62</v>
      </c>
      <c r="C10" s="29" t="n">
        <v>800000</v>
      </c>
      <c r="D10" s="30" t="n">
        <v>12</v>
      </c>
      <c r="E10" s="31" t="n">
        <f aca="false">C10*D10</f>
        <v>9600000</v>
      </c>
      <c r="F10" s="32" t="s">
        <v>58</v>
      </c>
    </row>
    <row r="11" customFormat="false" ht="15" hidden="false" customHeight="false" outlineLevel="0" collapsed="false">
      <c r="A11" s="14"/>
      <c r="B11" s="20" t="s">
        <v>63</v>
      </c>
      <c r="C11" s="16"/>
      <c r="D11" s="33" t="n">
        <v>12</v>
      </c>
      <c r="E11" s="15" t="n">
        <f aca="false">C11*D11</f>
        <v>0</v>
      </c>
      <c r="F11" s="17"/>
    </row>
    <row r="12" customFormat="false" ht="15" hidden="false" customHeight="false" outlineLevel="0" collapsed="false">
      <c r="A12" s="14"/>
      <c r="B12" s="20" t="s">
        <v>42</v>
      </c>
      <c r="C12" s="16"/>
      <c r="D12" s="33" t="n">
        <v>12</v>
      </c>
      <c r="E12" s="15" t="n">
        <f aca="false">C12*D12</f>
        <v>0</v>
      </c>
      <c r="F12" s="17"/>
    </row>
    <row r="13" customFormat="false" ht="15" hidden="false" customHeight="false" outlineLevel="0" collapsed="false">
      <c r="A13" s="14"/>
      <c r="B13" s="20" t="s">
        <v>64</v>
      </c>
      <c r="C13" s="16"/>
      <c r="D13" s="33" t="n">
        <v>12</v>
      </c>
      <c r="E13" s="15" t="n">
        <f aca="false">C13*D13</f>
        <v>0</v>
      </c>
      <c r="F13" s="17"/>
    </row>
    <row r="14" customFormat="false" ht="15" hidden="false" customHeight="false" outlineLevel="0" collapsed="false">
      <c r="A14" s="14"/>
      <c r="B14" s="20" t="s">
        <v>65</v>
      </c>
      <c r="C14" s="16"/>
      <c r="D14" s="33" t="n">
        <v>12</v>
      </c>
      <c r="E14" s="15" t="n">
        <f aca="false">C14*D14</f>
        <v>0</v>
      </c>
      <c r="F14" s="17"/>
    </row>
    <row r="15" customFormat="false" ht="15" hidden="false" customHeight="false" outlineLevel="0" collapsed="false">
      <c r="A15" s="14"/>
      <c r="B15" s="20" t="s">
        <v>66</v>
      </c>
      <c r="C15" s="16"/>
      <c r="D15" s="33" t="n">
        <v>12</v>
      </c>
      <c r="E15" s="15" t="n">
        <f aca="false">C15*D15</f>
        <v>0</v>
      </c>
      <c r="F15" s="17"/>
    </row>
    <row r="16" customFormat="false" ht="15" hidden="false" customHeight="false" outlineLevel="0" collapsed="false">
      <c r="A16" s="14"/>
      <c r="B16" s="20" t="s">
        <v>67</v>
      </c>
      <c r="C16" s="16"/>
      <c r="D16" s="33" t="n">
        <v>12</v>
      </c>
      <c r="E16" s="15" t="n">
        <f aca="false">C16*D16</f>
        <v>0</v>
      </c>
      <c r="F16" s="17"/>
    </row>
    <row r="17" customFormat="false" ht="15" hidden="false" customHeight="true" outlineLevel="0" collapsed="false">
      <c r="A17" s="34" t="s">
        <v>68</v>
      </c>
      <c r="B17" s="34"/>
      <c r="C17" s="34"/>
      <c r="D17" s="34"/>
      <c r="E17" s="22" t="n">
        <f aca="false">SUM(E10:E16)</f>
        <v>9600000</v>
      </c>
      <c r="F17" s="17"/>
    </row>
    <row r="19" customFormat="false" ht="16.4" hidden="false" customHeight="true" outlineLevel="0" collapsed="false">
      <c r="A19" s="25" t="s">
        <v>69</v>
      </c>
      <c r="B19" s="25"/>
      <c r="C19" s="25"/>
      <c r="D19" s="25"/>
      <c r="E19" s="26" t="n">
        <f aca="false">E8-E17</f>
        <v>26400000</v>
      </c>
      <c r="F19" s="17"/>
    </row>
  </sheetData>
  <mergeCells count="7">
    <mergeCell ref="A1:F1"/>
    <mergeCell ref="A2:F2"/>
    <mergeCell ref="A5:A7"/>
    <mergeCell ref="A8:D8"/>
    <mergeCell ref="A10:A16"/>
    <mergeCell ref="A17:D17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70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71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10" t="s">
        <v>8</v>
      </c>
      <c r="B4" s="10" t="s">
        <v>52</v>
      </c>
      <c r="C4" s="10" t="s">
        <v>72</v>
      </c>
      <c r="D4" s="10" t="s">
        <v>73</v>
      </c>
      <c r="E4" s="10" t="s">
        <v>74</v>
      </c>
      <c r="F4" s="10" t="s">
        <v>29</v>
      </c>
    </row>
    <row r="5" customFormat="false" ht="15" hidden="false" customHeight="true" outlineLevel="0" collapsed="false">
      <c r="A5" s="14" t="s">
        <v>75</v>
      </c>
      <c r="B5" s="28" t="s">
        <v>76</v>
      </c>
      <c r="C5" s="36" t="s">
        <v>77</v>
      </c>
      <c r="D5" s="29" t="n">
        <v>5000000</v>
      </c>
      <c r="E5" s="37" t="n">
        <v>43892</v>
      </c>
      <c r="F5" s="32" t="s">
        <v>58</v>
      </c>
    </row>
    <row r="6" customFormat="false" ht="15" hidden="false" customHeight="false" outlineLevel="0" collapsed="false">
      <c r="A6" s="14"/>
      <c r="B6" s="20"/>
      <c r="C6" s="20"/>
      <c r="D6" s="16"/>
      <c r="E6" s="33"/>
      <c r="F6" s="17"/>
    </row>
    <row r="7" customFormat="false" ht="15" hidden="false" customHeight="false" outlineLevel="0" collapsed="false">
      <c r="A7" s="14"/>
      <c r="B7" s="20"/>
      <c r="C7" s="20"/>
      <c r="D7" s="16"/>
      <c r="E7" s="33"/>
      <c r="F7" s="17"/>
    </row>
    <row r="8" customFormat="false" ht="15" hidden="false" customHeight="false" outlineLevel="0" collapsed="false">
      <c r="A8" s="14"/>
      <c r="B8" s="20"/>
      <c r="C8" s="20"/>
      <c r="D8" s="16"/>
      <c r="E8" s="33"/>
      <c r="F8" s="17"/>
    </row>
    <row r="9" customFormat="false" ht="15" hidden="false" customHeight="true" outlineLevel="0" collapsed="false">
      <c r="A9" s="38"/>
      <c r="B9" s="34" t="s">
        <v>78</v>
      </c>
      <c r="C9" s="34"/>
      <c r="D9" s="22" t="n">
        <f aca="false">SUM(D5:D8)</f>
        <v>5000000</v>
      </c>
      <c r="E9" s="38"/>
      <c r="F9" s="38"/>
    </row>
    <row r="11" customFormat="false" ht="15" hidden="false" customHeight="true" outlineLevel="0" collapsed="false">
      <c r="A11" s="14" t="s">
        <v>79</v>
      </c>
      <c r="B11" s="20"/>
      <c r="C11" s="20"/>
      <c r="D11" s="16"/>
      <c r="E11" s="33"/>
      <c r="F11" s="17"/>
    </row>
    <row r="12" customFormat="false" ht="15" hidden="false" customHeight="false" outlineLevel="0" collapsed="false">
      <c r="A12" s="14"/>
      <c r="B12" s="20"/>
      <c r="C12" s="20"/>
      <c r="D12" s="16"/>
      <c r="E12" s="33"/>
      <c r="F12" s="17"/>
    </row>
    <row r="13" customFormat="false" ht="15" hidden="false" customHeight="false" outlineLevel="0" collapsed="false">
      <c r="A13" s="14"/>
      <c r="B13" s="20"/>
      <c r="C13" s="20"/>
      <c r="D13" s="16"/>
      <c r="E13" s="33"/>
      <c r="F13" s="17"/>
    </row>
    <row r="14" customFormat="false" ht="15" hidden="false" customHeight="false" outlineLevel="0" collapsed="false">
      <c r="A14" s="14"/>
      <c r="B14" s="20"/>
      <c r="C14" s="20"/>
      <c r="D14" s="16"/>
      <c r="E14" s="33"/>
      <c r="F14" s="17"/>
    </row>
    <row r="15" customFormat="false" ht="15" hidden="false" customHeight="true" outlineLevel="0" collapsed="false">
      <c r="A15" s="38"/>
      <c r="B15" s="34" t="s">
        <v>80</v>
      </c>
      <c r="C15" s="34"/>
      <c r="D15" s="22" t="n">
        <f aca="false">SUM(D11:D14)</f>
        <v>0</v>
      </c>
      <c r="E15" s="38"/>
      <c r="F15" s="38"/>
    </row>
    <row r="17" customFormat="false" ht="15" hidden="false" customHeight="true" outlineLevel="0" collapsed="false">
      <c r="A17" s="14" t="s">
        <v>81</v>
      </c>
      <c r="B17" s="20"/>
      <c r="C17" s="20"/>
      <c r="D17" s="16"/>
      <c r="E17" s="33"/>
      <c r="F17" s="17"/>
    </row>
    <row r="18" customFormat="false" ht="15" hidden="false" customHeight="false" outlineLevel="0" collapsed="false">
      <c r="A18" s="14"/>
      <c r="B18" s="20"/>
      <c r="C18" s="20"/>
      <c r="D18" s="16"/>
      <c r="E18" s="33"/>
      <c r="F18" s="17"/>
    </row>
    <row r="19" customFormat="false" ht="15" hidden="false" customHeight="false" outlineLevel="0" collapsed="false">
      <c r="A19" s="14"/>
      <c r="B19" s="20"/>
      <c r="C19" s="20"/>
      <c r="D19" s="16"/>
      <c r="E19" s="33"/>
      <c r="F19" s="17"/>
    </row>
    <row r="20" customFormat="false" ht="15" hidden="false" customHeight="true" outlineLevel="0" collapsed="false">
      <c r="A20" s="38"/>
      <c r="B20" s="34" t="s">
        <v>82</v>
      </c>
      <c r="C20" s="34"/>
      <c r="D20" s="22" t="n">
        <f aca="false">SUM(D17:D19)</f>
        <v>0</v>
      </c>
      <c r="E20" s="38"/>
      <c r="F20" s="38"/>
    </row>
    <row r="22" customFormat="false" ht="15" hidden="false" customHeight="true" outlineLevel="0" collapsed="false">
      <c r="A22" s="14" t="s">
        <v>83</v>
      </c>
      <c r="B22" s="20"/>
      <c r="C22" s="20"/>
      <c r="D22" s="16"/>
      <c r="E22" s="33"/>
      <c r="F22" s="17"/>
    </row>
    <row r="23" customFormat="false" ht="15" hidden="false" customHeight="false" outlineLevel="0" collapsed="false">
      <c r="A23" s="14"/>
      <c r="B23" s="20"/>
      <c r="C23" s="20"/>
      <c r="D23" s="16"/>
      <c r="E23" s="33"/>
      <c r="F23" s="17"/>
    </row>
    <row r="24" customFormat="false" ht="15" hidden="false" customHeight="false" outlineLevel="0" collapsed="false">
      <c r="A24" s="14"/>
      <c r="B24" s="20"/>
      <c r="C24" s="20"/>
      <c r="D24" s="16"/>
      <c r="E24" s="33"/>
      <c r="F24" s="17"/>
    </row>
    <row r="25" customFormat="false" ht="15" hidden="false" customHeight="true" outlineLevel="0" collapsed="false">
      <c r="A25" s="38"/>
      <c r="B25" s="34" t="s">
        <v>84</v>
      </c>
      <c r="C25" s="34"/>
      <c r="D25" s="22" t="n">
        <f aca="false">SUM(D22:D24)</f>
        <v>0</v>
      </c>
      <c r="E25" s="38"/>
      <c r="F25" s="38"/>
    </row>
    <row r="27" customFormat="false" ht="15" hidden="false" customHeight="true" outlineLevel="0" collapsed="false">
      <c r="A27" s="14" t="s">
        <v>85</v>
      </c>
      <c r="B27" s="20"/>
      <c r="C27" s="20"/>
      <c r="D27" s="16"/>
      <c r="E27" s="33"/>
      <c r="F27" s="17"/>
    </row>
    <row r="28" customFormat="false" ht="15" hidden="false" customHeight="false" outlineLevel="0" collapsed="false">
      <c r="A28" s="14"/>
      <c r="B28" s="20"/>
      <c r="C28" s="20"/>
      <c r="D28" s="16"/>
      <c r="E28" s="33"/>
      <c r="F28" s="17"/>
    </row>
    <row r="29" customFormat="false" ht="15" hidden="false" customHeight="false" outlineLevel="0" collapsed="false">
      <c r="A29" s="14"/>
      <c r="B29" s="20"/>
      <c r="C29" s="20"/>
      <c r="D29" s="16"/>
      <c r="E29" s="33"/>
      <c r="F29" s="17"/>
    </row>
    <row r="30" customFormat="false" ht="15" hidden="false" customHeight="true" outlineLevel="0" collapsed="false">
      <c r="A30" s="38"/>
      <c r="B30" s="34" t="s">
        <v>86</v>
      </c>
      <c r="C30" s="34"/>
      <c r="D30" s="22" t="n">
        <f aca="false">SUM(D27:D29)</f>
        <v>0</v>
      </c>
      <c r="E30" s="38"/>
      <c r="F30" s="38"/>
    </row>
    <row r="32" customFormat="false" ht="16.4" hidden="false" customHeight="true" outlineLevel="0" collapsed="false">
      <c r="A32" s="25" t="s">
        <v>87</v>
      </c>
      <c r="B32" s="25"/>
      <c r="C32" s="25"/>
      <c r="D32" s="26" t="n">
        <f aca="false">D9+D15+D20+D25+D30</f>
        <v>5000000</v>
      </c>
      <c r="E32" s="27"/>
      <c r="F32" s="27"/>
    </row>
  </sheetData>
  <mergeCells count="13">
    <mergeCell ref="A1:F1"/>
    <mergeCell ref="A2:F2"/>
    <mergeCell ref="A5:A8"/>
    <mergeCell ref="B9:C9"/>
    <mergeCell ref="A11:A14"/>
    <mergeCell ref="B15:C15"/>
    <mergeCell ref="A17:A19"/>
    <mergeCell ref="B20:C20"/>
    <mergeCell ref="A22:A24"/>
    <mergeCell ref="B25:C25"/>
    <mergeCell ref="A27:A29"/>
    <mergeCell ref="B30:C30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24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8" hidden="false" customHeight="true" outlineLevel="0" collapsed="false">
      <c r="A4" s="10" t="s">
        <v>8</v>
      </c>
      <c r="B4" s="10" t="s">
        <v>90</v>
      </c>
      <c r="C4" s="10" t="s">
        <v>91</v>
      </c>
      <c r="D4" s="10" t="s">
        <v>92</v>
      </c>
      <c r="E4" s="10" t="s">
        <v>93</v>
      </c>
      <c r="F4" s="10" t="s">
        <v>94</v>
      </c>
      <c r="G4" s="10" t="s">
        <v>95</v>
      </c>
      <c r="H4" s="10" t="s">
        <v>96</v>
      </c>
      <c r="I4" s="10" t="s">
        <v>97</v>
      </c>
      <c r="J4" s="10" t="s">
        <v>98</v>
      </c>
      <c r="K4" s="10" t="s">
        <v>29</v>
      </c>
    </row>
    <row r="5" customFormat="false" ht="15" hidden="false" customHeight="false" outlineLevel="0" collapsed="false">
      <c r="A5" s="28" t="s">
        <v>99</v>
      </c>
      <c r="B5" s="36" t="s">
        <v>77</v>
      </c>
      <c r="C5" s="28" t="s">
        <v>100</v>
      </c>
      <c r="D5" s="37" t="n">
        <v>45306</v>
      </c>
      <c r="E5" s="37" t="n">
        <v>47133</v>
      </c>
      <c r="F5" s="28" t="s">
        <v>101</v>
      </c>
      <c r="G5" s="39" t="n">
        <v>0.045</v>
      </c>
      <c r="H5" s="40" t="n">
        <v>30000000</v>
      </c>
      <c r="I5" s="40" t="n">
        <v>22000000</v>
      </c>
      <c r="J5" s="40" t="n">
        <v>550000</v>
      </c>
      <c r="K5" s="32" t="s">
        <v>58</v>
      </c>
    </row>
    <row r="6" customFormat="false" ht="15" hidden="false" customHeight="false" outlineLevel="0" collapsed="false">
      <c r="A6" s="41"/>
      <c r="B6" s="41"/>
      <c r="C6" s="41"/>
      <c r="D6" s="42"/>
      <c r="E6" s="42"/>
      <c r="F6" s="41"/>
      <c r="G6" s="43"/>
      <c r="H6" s="44"/>
      <c r="I6" s="44"/>
      <c r="J6" s="44"/>
      <c r="K6" s="18"/>
    </row>
    <row r="7" customFormat="false" ht="15" hidden="false" customHeight="false" outlineLevel="0" collapsed="false">
      <c r="A7" s="41"/>
      <c r="B7" s="41"/>
      <c r="C7" s="41"/>
      <c r="D7" s="42"/>
      <c r="E7" s="42"/>
      <c r="F7" s="41"/>
      <c r="G7" s="43"/>
      <c r="H7" s="44"/>
      <c r="I7" s="44"/>
      <c r="J7" s="44"/>
      <c r="K7" s="18"/>
    </row>
    <row r="8" customFormat="false" ht="15" hidden="false" customHeight="false" outlineLevel="0" collapsed="false">
      <c r="A8" s="41"/>
      <c r="B8" s="41"/>
      <c r="C8" s="41"/>
      <c r="D8" s="42"/>
      <c r="E8" s="42"/>
      <c r="F8" s="41"/>
      <c r="G8" s="43"/>
      <c r="H8" s="44"/>
      <c r="I8" s="44"/>
      <c r="J8" s="44"/>
      <c r="K8" s="18"/>
    </row>
    <row r="9" customFormat="false" ht="15" hidden="false" customHeight="false" outlineLevel="0" collapsed="false">
      <c r="A9" s="41"/>
      <c r="B9" s="41"/>
      <c r="C9" s="41"/>
      <c r="D9" s="42"/>
      <c r="E9" s="42"/>
      <c r="F9" s="41"/>
      <c r="G9" s="43"/>
      <c r="H9" s="44"/>
      <c r="I9" s="44"/>
      <c r="J9" s="44"/>
      <c r="K9" s="18"/>
    </row>
    <row r="10" customFormat="false" ht="15" hidden="false" customHeight="false" outlineLevel="0" collapsed="false">
      <c r="A10" s="41"/>
      <c r="B10" s="41"/>
      <c r="C10" s="41"/>
      <c r="D10" s="42"/>
      <c r="E10" s="42"/>
      <c r="F10" s="41"/>
      <c r="G10" s="43"/>
      <c r="H10" s="44"/>
      <c r="I10" s="44"/>
      <c r="J10" s="44"/>
      <c r="K10" s="18"/>
    </row>
    <row r="11" customFormat="false" ht="15" hidden="false" customHeight="false" outlineLevel="0" collapsed="false">
      <c r="A11" s="41"/>
      <c r="B11" s="41"/>
      <c r="C11" s="41"/>
      <c r="D11" s="42"/>
      <c r="E11" s="42"/>
      <c r="F11" s="41"/>
      <c r="G11" s="43"/>
      <c r="H11" s="44"/>
      <c r="I11" s="44"/>
      <c r="J11" s="44"/>
      <c r="K11" s="18"/>
    </row>
    <row r="12" customFormat="false" ht="16.4" hidden="false" customHeight="true" outlineLevel="0" collapsed="false">
      <c r="A12" s="25" t="s">
        <v>21</v>
      </c>
      <c r="B12" s="25"/>
      <c r="C12" s="25"/>
      <c r="D12" s="25"/>
      <c r="E12" s="25"/>
      <c r="F12" s="25"/>
      <c r="G12" s="25"/>
      <c r="H12" s="26" t="n">
        <f aca="false">SUM(H5:H11)</f>
        <v>30000000</v>
      </c>
      <c r="I12" s="26" t="n">
        <f aca="false">SUM(I5:I11)</f>
        <v>22000000</v>
      </c>
      <c r="J12" s="26" t="n">
        <f aca="false">SUM(J5:J11)</f>
        <v>550000</v>
      </c>
      <c r="K12" s="27"/>
    </row>
  </sheetData>
  <mergeCells count="3">
    <mergeCell ref="A1:K1"/>
    <mergeCell ref="A2:K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24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5" t="s">
        <v>104</v>
      </c>
      <c r="B4" s="46"/>
      <c r="C4" s="46"/>
      <c r="D4" s="46"/>
      <c r="E4" s="46"/>
      <c r="F4" s="46"/>
      <c r="G4" s="47" t="n">
        <v>0</v>
      </c>
      <c r="H4" s="48" t="s">
        <v>31</v>
      </c>
    </row>
    <row r="5" customFormat="false" ht="18" hidden="false" customHeight="true" outlineLevel="0" collapsed="false">
      <c r="A5" s="10" t="s">
        <v>105</v>
      </c>
      <c r="B5" s="10" t="s">
        <v>8</v>
      </c>
      <c r="C5" s="10" t="s">
        <v>106</v>
      </c>
      <c r="D5" s="10" t="s">
        <v>107</v>
      </c>
      <c r="E5" s="10" t="s">
        <v>108</v>
      </c>
      <c r="F5" s="10" t="s">
        <v>109</v>
      </c>
      <c r="G5" s="10" t="s">
        <v>110</v>
      </c>
      <c r="H5" s="10" t="s">
        <v>29</v>
      </c>
    </row>
    <row r="6" customFormat="false" ht="15" hidden="false" customHeight="false" outlineLevel="0" collapsed="false">
      <c r="A6" s="37" t="n">
        <v>46027</v>
      </c>
      <c r="B6" s="49" t="s">
        <v>111</v>
      </c>
      <c r="C6" s="49" t="s">
        <v>40</v>
      </c>
      <c r="D6" s="28" t="s">
        <v>112</v>
      </c>
      <c r="E6" s="29"/>
      <c r="F6" s="29" t="n">
        <v>12000</v>
      </c>
      <c r="G6" s="29" t="n">
        <f aca="false">G4+E6-F6</f>
        <v>-12000</v>
      </c>
      <c r="H6" s="32" t="s">
        <v>58</v>
      </c>
    </row>
    <row r="7" customFormat="false" ht="15" hidden="false" customHeight="false" outlineLevel="0" collapsed="false">
      <c r="A7" s="42"/>
      <c r="B7" s="33"/>
      <c r="C7" s="33"/>
      <c r="D7" s="41"/>
      <c r="E7" s="16"/>
      <c r="F7" s="16"/>
      <c r="G7" s="16" t="n">
        <f aca="false">G6+E7-F7</f>
        <v>-12000</v>
      </c>
      <c r="H7" s="17"/>
    </row>
    <row r="8" customFormat="false" ht="15" hidden="false" customHeight="false" outlineLevel="0" collapsed="false">
      <c r="A8" s="42"/>
      <c r="B8" s="33"/>
      <c r="C8" s="33"/>
      <c r="D8" s="41"/>
      <c r="E8" s="16"/>
      <c r="F8" s="16"/>
      <c r="G8" s="16" t="n">
        <f aca="false">G7+E8-F8</f>
        <v>-12000</v>
      </c>
      <c r="H8" s="17"/>
    </row>
    <row r="9" customFormat="false" ht="15" hidden="false" customHeight="false" outlineLevel="0" collapsed="false">
      <c r="A9" s="42"/>
      <c r="B9" s="33"/>
      <c r="C9" s="33"/>
      <c r="D9" s="41"/>
      <c r="E9" s="16"/>
      <c r="F9" s="16"/>
      <c r="G9" s="16" t="n">
        <f aca="false">G8+E9-F9</f>
        <v>-12000</v>
      </c>
      <c r="H9" s="17"/>
    </row>
    <row r="10" customFormat="false" ht="15" hidden="false" customHeight="false" outlineLevel="0" collapsed="false">
      <c r="A10" s="42"/>
      <c r="B10" s="33"/>
      <c r="C10" s="33"/>
      <c r="D10" s="41"/>
      <c r="E10" s="16"/>
      <c r="F10" s="16"/>
      <c r="G10" s="16" t="n">
        <f aca="false">G9+E10-F10</f>
        <v>-12000</v>
      </c>
      <c r="H10" s="17"/>
    </row>
    <row r="11" customFormat="false" ht="15" hidden="false" customHeight="false" outlineLevel="0" collapsed="false">
      <c r="A11" s="42"/>
      <c r="B11" s="33"/>
      <c r="C11" s="33"/>
      <c r="D11" s="41"/>
      <c r="E11" s="16"/>
      <c r="F11" s="16"/>
      <c r="G11" s="16" t="n">
        <f aca="false">G10+E11-F11</f>
        <v>-12000</v>
      </c>
      <c r="H11" s="17"/>
    </row>
    <row r="12" customFormat="false" ht="15" hidden="false" customHeight="false" outlineLevel="0" collapsed="false">
      <c r="A12" s="42"/>
      <c r="B12" s="33"/>
      <c r="C12" s="33"/>
      <c r="D12" s="41"/>
      <c r="E12" s="16"/>
      <c r="F12" s="16"/>
      <c r="G12" s="16" t="n">
        <f aca="false">G11+E12-F12</f>
        <v>-12000</v>
      </c>
      <c r="H12" s="17"/>
    </row>
    <row r="13" customFormat="false" ht="15" hidden="false" customHeight="false" outlineLevel="0" collapsed="false">
      <c r="A13" s="42"/>
      <c r="B13" s="33"/>
      <c r="C13" s="33"/>
      <c r="D13" s="41"/>
      <c r="E13" s="16"/>
      <c r="F13" s="16"/>
      <c r="G13" s="16" t="n">
        <f aca="false">G12+E13-F13</f>
        <v>-12000</v>
      </c>
      <c r="H13" s="17"/>
    </row>
    <row r="14" customFormat="false" ht="15" hidden="false" customHeight="false" outlineLevel="0" collapsed="false">
      <c r="A14" s="42"/>
      <c r="B14" s="33"/>
      <c r="C14" s="33"/>
      <c r="D14" s="41"/>
      <c r="E14" s="16"/>
      <c r="F14" s="16"/>
      <c r="G14" s="16" t="n">
        <f aca="false">G13+E14-F14</f>
        <v>-12000</v>
      </c>
      <c r="H14" s="17"/>
    </row>
    <row r="15" customFormat="false" ht="15" hidden="false" customHeight="false" outlineLevel="0" collapsed="false">
      <c r="A15" s="42"/>
      <c r="B15" s="33"/>
      <c r="C15" s="33"/>
      <c r="D15" s="41"/>
      <c r="E15" s="16"/>
      <c r="F15" s="16"/>
      <c r="G15" s="16" t="n">
        <f aca="false">G14+E15-F15</f>
        <v>-12000</v>
      </c>
      <c r="H15" s="17"/>
    </row>
    <row r="16" customFormat="false" ht="15" hidden="false" customHeight="false" outlineLevel="0" collapsed="false">
      <c r="A16" s="42"/>
      <c r="B16" s="33"/>
      <c r="C16" s="33"/>
      <c r="D16" s="41"/>
      <c r="E16" s="16"/>
      <c r="F16" s="16"/>
      <c r="G16" s="16" t="n">
        <f aca="false">G15+E16-F16</f>
        <v>-12000</v>
      </c>
      <c r="H16" s="17"/>
    </row>
    <row r="17" customFormat="false" ht="15" hidden="false" customHeight="false" outlineLevel="0" collapsed="false">
      <c r="A17" s="42"/>
      <c r="B17" s="33"/>
      <c r="C17" s="33"/>
      <c r="D17" s="41"/>
      <c r="E17" s="16"/>
      <c r="F17" s="16"/>
      <c r="G17" s="16" t="n">
        <f aca="false">G16+E17-F17</f>
        <v>-12000</v>
      </c>
      <c r="H17" s="17"/>
    </row>
    <row r="18" customFormat="false" ht="15" hidden="false" customHeight="false" outlineLevel="0" collapsed="false">
      <c r="A18" s="42"/>
      <c r="B18" s="33"/>
      <c r="C18" s="33"/>
      <c r="D18" s="41"/>
      <c r="E18" s="16"/>
      <c r="F18" s="16"/>
      <c r="G18" s="16" t="n">
        <f aca="false">G17+E18-F18</f>
        <v>-12000</v>
      </c>
      <c r="H18" s="17"/>
    </row>
    <row r="19" customFormat="false" ht="15" hidden="false" customHeight="false" outlineLevel="0" collapsed="false">
      <c r="A19" s="42"/>
      <c r="B19" s="33"/>
      <c r="C19" s="33"/>
      <c r="D19" s="41"/>
      <c r="E19" s="16"/>
      <c r="F19" s="16"/>
      <c r="G19" s="16" t="n">
        <f aca="false">G18+E19-F19</f>
        <v>-12000</v>
      </c>
      <c r="H19" s="17"/>
    </row>
    <row r="20" customFormat="false" ht="15" hidden="false" customHeight="false" outlineLevel="0" collapsed="false">
      <c r="A20" s="42"/>
      <c r="B20" s="33"/>
      <c r="C20" s="33"/>
      <c r="D20" s="41"/>
      <c r="E20" s="16"/>
      <c r="F20" s="16"/>
      <c r="G20" s="16" t="n">
        <f aca="false">G19+E20-F20</f>
        <v>-12000</v>
      </c>
      <c r="H20" s="17"/>
    </row>
    <row r="21" customFormat="false" ht="15" hidden="false" customHeight="false" outlineLevel="0" collapsed="false">
      <c r="A21" s="42"/>
      <c r="B21" s="33"/>
      <c r="C21" s="33"/>
      <c r="D21" s="41"/>
      <c r="E21" s="16"/>
      <c r="F21" s="16"/>
      <c r="G21" s="16" t="n">
        <f aca="false">G20+E21-F21</f>
        <v>-12000</v>
      </c>
      <c r="H21" s="17"/>
    </row>
    <row r="22" customFormat="false" ht="15" hidden="false" customHeight="false" outlineLevel="0" collapsed="false">
      <c r="A22" s="42"/>
      <c r="B22" s="33"/>
      <c r="C22" s="33"/>
      <c r="D22" s="41"/>
      <c r="E22" s="16"/>
      <c r="F22" s="16"/>
      <c r="G22" s="16" t="n">
        <f aca="false">G21+E22-F22</f>
        <v>-12000</v>
      </c>
      <c r="H22" s="17"/>
    </row>
    <row r="23" customFormat="false" ht="15" hidden="false" customHeight="false" outlineLevel="0" collapsed="false">
      <c r="A23" s="42"/>
      <c r="B23" s="33"/>
      <c r="C23" s="33"/>
      <c r="D23" s="41"/>
      <c r="E23" s="16"/>
      <c r="F23" s="16"/>
      <c r="G23" s="16" t="n">
        <f aca="false">G22+E23-F23</f>
        <v>-12000</v>
      </c>
      <c r="H23" s="17"/>
    </row>
    <row r="24" customFormat="false" ht="15" hidden="false" customHeight="false" outlineLevel="0" collapsed="false">
      <c r="A24" s="42"/>
      <c r="B24" s="33"/>
      <c r="C24" s="33"/>
      <c r="D24" s="41"/>
      <c r="E24" s="16"/>
      <c r="F24" s="16"/>
      <c r="G24" s="16" t="n">
        <f aca="false">G23+E24-F24</f>
        <v>-12000</v>
      </c>
      <c r="H24" s="17"/>
    </row>
    <row r="25" customFormat="false" ht="15" hidden="false" customHeight="false" outlineLevel="0" collapsed="false">
      <c r="A25" s="42"/>
      <c r="B25" s="33"/>
      <c r="C25" s="33"/>
      <c r="D25" s="41"/>
      <c r="E25" s="16"/>
      <c r="F25" s="16"/>
      <c r="G25" s="16" t="n">
        <f aca="false">G24+E25-F25</f>
        <v>-12000</v>
      </c>
      <c r="H25" s="17"/>
    </row>
    <row r="26" customFormat="false" ht="15" hidden="false" customHeight="false" outlineLevel="0" collapsed="false">
      <c r="A26" s="42"/>
      <c r="B26" s="33"/>
      <c r="C26" s="33"/>
      <c r="D26" s="41"/>
      <c r="E26" s="16"/>
      <c r="F26" s="16"/>
      <c r="G26" s="16" t="n">
        <f aca="false">G25+E26-F26</f>
        <v>-12000</v>
      </c>
      <c r="H26" s="17"/>
    </row>
    <row r="27" customFormat="false" ht="15" hidden="false" customHeight="false" outlineLevel="0" collapsed="false">
      <c r="A27" s="42"/>
      <c r="B27" s="33"/>
      <c r="C27" s="33"/>
      <c r="D27" s="41"/>
      <c r="E27" s="16"/>
      <c r="F27" s="16"/>
      <c r="G27" s="16" t="n">
        <f aca="false">G26+E27-F27</f>
        <v>-12000</v>
      </c>
      <c r="H27" s="17"/>
    </row>
    <row r="28" customFormat="false" ht="15" hidden="false" customHeight="false" outlineLevel="0" collapsed="false">
      <c r="A28" s="42"/>
      <c r="B28" s="33"/>
      <c r="C28" s="33"/>
      <c r="D28" s="41"/>
      <c r="E28" s="16"/>
      <c r="F28" s="16"/>
      <c r="G28" s="16" t="n">
        <f aca="false">G27+E28-F28</f>
        <v>-12000</v>
      </c>
      <c r="H28" s="17"/>
    </row>
    <row r="29" customFormat="false" ht="15" hidden="false" customHeight="false" outlineLevel="0" collapsed="false">
      <c r="A29" s="42"/>
      <c r="B29" s="33"/>
      <c r="C29" s="33"/>
      <c r="D29" s="41"/>
      <c r="E29" s="16"/>
      <c r="F29" s="16"/>
      <c r="G29" s="16" t="n">
        <f aca="false">G28+E29-F29</f>
        <v>-12000</v>
      </c>
      <c r="H29" s="17"/>
    </row>
    <row r="30" customFormat="false" ht="15" hidden="false" customHeight="false" outlineLevel="0" collapsed="false">
      <c r="A30" s="42"/>
      <c r="B30" s="33"/>
      <c r="C30" s="33"/>
      <c r="D30" s="41"/>
      <c r="E30" s="16"/>
      <c r="F30" s="16"/>
      <c r="G30" s="16" t="n">
        <f aca="false">G29+E30-F30</f>
        <v>-12000</v>
      </c>
      <c r="H30" s="17"/>
    </row>
    <row r="31" customFormat="false" ht="15" hidden="false" customHeight="false" outlineLevel="0" collapsed="false">
      <c r="A31" s="42"/>
      <c r="B31" s="33"/>
      <c r="C31" s="33"/>
      <c r="D31" s="41"/>
      <c r="E31" s="16"/>
      <c r="F31" s="16"/>
      <c r="G31" s="16" t="n">
        <f aca="false">G30+E31-F31</f>
        <v>-12000</v>
      </c>
      <c r="H31" s="17"/>
    </row>
    <row r="32" customFormat="false" ht="15" hidden="false" customHeight="false" outlineLevel="0" collapsed="false">
      <c r="A32" s="42"/>
      <c r="B32" s="33"/>
      <c r="C32" s="33"/>
      <c r="D32" s="41"/>
      <c r="E32" s="16"/>
      <c r="F32" s="16"/>
      <c r="G32" s="16" t="n">
        <f aca="false">G31+E32-F32</f>
        <v>-12000</v>
      </c>
      <c r="H32" s="17"/>
    </row>
    <row r="33" customFormat="false" ht="15" hidden="false" customHeight="false" outlineLevel="0" collapsed="false">
      <c r="A33" s="42"/>
      <c r="B33" s="33"/>
      <c r="C33" s="33"/>
      <c r="D33" s="41"/>
      <c r="E33" s="16"/>
      <c r="F33" s="16"/>
      <c r="G33" s="16" t="n">
        <f aca="false">G32+E33-F33</f>
        <v>-12000</v>
      </c>
      <c r="H33" s="17"/>
    </row>
    <row r="34" customFormat="false" ht="15" hidden="false" customHeight="false" outlineLevel="0" collapsed="false">
      <c r="A34" s="42"/>
      <c r="B34" s="33"/>
      <c r="C34" s="33"/>
      <c r="D34" s="41"/>
      <c r="E34" s="16"/>
      <c r="F34" s="16"/>
      <c r="G34" s="16" t="n">
        <f aca="false">G33+E34-F34</f>
        <v>-12000</v>
      </c>
      <c r="H34" s="17"/>
    </row>
    <row r="35" customFormat="false" ht="15" hidden="false" customHeight="false" outlineLevel="0" collapsed="false">
      <c r="A35" s="42"/>
      <c r="B35" s="33"/>
      <c r="C35" s="33"/>
      <c r="D35" s="41"/>
      <c r="E35" s="16"/>
      <c r="F35" s="16"/>
      <c r="G35" s="16" t="n">
        <f aca="false">G34+E35-F35</f>
        <v>-12000</v>
      </c>
      <c r="H35" s="17"/>
    </row>
  </sheetData>
  <mergeCells count="3">
    <mergeCell ref="A1:H1"/>
    <mergeCell ref="A2:H2"/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2026-07-23T05:39:58Z</dcterms:created>
  <dc:creator>openpyxl</dc:creator>
  <dc:description/>
  <dc:language>en-US</dc:language>
  <cp:lastModifiedBy/>
  <dcterms:modified xsi:type="dcterms:W3CDTF">2026-07-23T05:39:58Z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