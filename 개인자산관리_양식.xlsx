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자금수지" sheetId="1" state="visible" r:id="rId3"/>
    <sheet name="자금일보" sheetId="2" state="visible" r:id="rId4"/>
    <sheet name="Cash ou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<sst xmlns="http://schemas.openxmlformats.org/spreadsheetml/2006/main" count="64" uniqueCount="59">
  <si>
    <r>
      <rPr>
        <b val="true"/>
        <sz val="13"/>
        <rFont val="WenQuanYi Zen Hei"/>
        <family val="2"/>
      </rPr>
      <t xml:space="preserve">■ 개인 요약자금수지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일별</t>
    </r>
    <r>
      <rPr>
        <b val="true"/>
        <sz val="13"/>
        <rFont val="맑은 고딕"/>
        <family val="0"/>
        <charset val="1"/>
      </rPr>
      <t xml:space="preserve">, 2026</t>
    </r>
    <r>
      <rPr>
        <b val="true"/>
        <sz val="13"/>
        <rFont val="WenQuanYi Zen Hei"/>
        <family val="2"/>
      </rPr>
      <t xml:space="preserve">년</t>
    </r>
    <r>
      <rPr>
        <b val="true"/>
        <sz val="13"/>
        <rFont val="맑은 고딕"/>
        <family val="0"/>
        <charset val="1"/>
      </rPr>
      <t xml:space="preserve">, </t>
    </r>
    <r>
      <rPr>
        <b val="true"/>
        <sz val="13"/>
        <rFont val="WenQuanYi Zen Hei"/>
        <family val="2"/>
      </rPr>
      <t xml:space="preserve">단위</t>
    </r>
    <r>
      <rPr>
        <b val="true"/>
        <sz val="13"/>
        <rFont val="맑은 고딕"/>
        <family val="0"/>
        <charset val="1"/>
      </rPr>
      <t xml:space="preserve">: </t>
    </r>
    <r>
      <rPr>
        <b val="true"/>
        <sz val="13"/>
        <rFont val="WenQuanYi Zen Hei"/>
        <family val="2"/>
      </rPr>
      <t xml:space="preserve">원</t>
    </r>
    <r>
      <rPr>
        <b val="true"/>
        <sz val="13"/>
        <rFont val="맑은 고딕"/>
        <family val="0"/>
        <charset val="1"/>
      </rPr>
      <t xml:space="preserve">)</t>
    </r>
  </si>
  <si>
    <r>
      <rPr>
        <i val="true"/>
        <sz val="9"/>
        <color rgb="FF0070C0"/>
        <rFont val="WenQuanYi Zen Hei"/>
        <family val="2"/>
      </rPr>
      <t xml:space="preserve">※ 파란색 셀에 직접 입력하세요</t>
    </r>
    <r>
      <rPr>
        <i val="true"/>
        <sz val="9"/>
        <color rgb="FF0070C0"/>
        <rFont val="맑은 고딕"/>
        <family val="0"/>
        <charset val="1"/>
      </rPr>
      <t xml:space="preserve">. </t>
    </r>
    <r>
      <rPr>
        <i val="true"/>
        <sz val="9"/>
        <color rgb="FF0070C0"/>
        <rFont val="WenQuanYi Zen Hei"/>
        <family val="2"/>
      </rPr>
      <t xml:space="preserve">지출소계</t>
    </r>
    <r>
      <rPr>
        <i val="true"/>
        <sz val="9"/>
        <color rgb="FF0070C0"/>
        <rFont val="맑은 고딕"/>
        <family val="0"/>
        <charset val="1"/>
      </rPr>
      <t xml:space="preserve">(K)·</t>
    </r>
    <r>
      <rPr>
        <i val="true"/>
        <sz val="9"/>
        <color rgb="FF0070C0"/>
        <rFont val="WenQuanYi Zen Hei"/>
        <family val="2"/>
      </rPr>
      <t xml:space="preserve">잔액</t>
    </r>
    <r>
      <rPr>
        <i val="true"/>
        <sz val="9"/>
        <color rgb="FF0070C0"/>
        <rFont val="맑은 고딕"/>
        <family val="0"/>
        <charset val="1"/>
      </rPr>
      <t xml:space="preserve">(L)</t>
    </r>
    <r>
      <rPr>
        <i val="true"/>
        <sz val="9"/>
        <color rgb="FF0070C0"/>
        <rFont val="WenQuanYi Zen Hei"/>
        <family val="2"/>
      </rPr>
      <t xml:space="preserve">은 자동 계산됩니다</t>
    </r>
    <r>
      <rPr>
        <i val="true"/>
        <sz val="9"/>
        <color rgb="FF0070C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</si>
  <si>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기초잔액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전월이월</t>
    </r>
    <r>
      <rPr>
        <b val="true"/>
        <sz val="10"/>
        <rFont val="맑은 고딕"/>
        <family val="0"/>
        <charset val="1"/>
      </rPr>
      <t xml:space="preserve">)</t>
    </r>
  </si>
  <si>
    <t xml:space="preserve">직접 입력</t>
  </si>
  <si>
    <t xml:space="preserve">날짜</t>
  </si>
  <si>
    <r>
      <rPr>
        <b val="true"/>
        <sz val="10"/>
        <color rgb="FFFFFFFF"/>
        <rFont val="WenQuanYi Zen Hei"/>
        <family val="2"/>
      </rPr>
      <t xml:space="preserve">수입 </t>
    </r>
    <r>
      <rPr>
        <b val="true"/>
        <sz val="10"/>
        <color rgb="FFFFFFFF"/>
        <rFont val="맑은 고딕"/>
        <family val="0"/>
        <charset val="1"/>
      </rPr>
      <t xml:space="preserve">(Cash In)</t>
    </r>
  </si>
  <si>
    <r>
      <rPr>
        <b val="true"/>
        <sz val="10"/>
        <color rgb="FFFFFFFF"/>
        <rFont val="WenQuanYi Zen Hei"/>
        <family val="2"/>
      </rPr>
      <t xml:space="preserve">지출 </t>
    </r>
    <r>
      <rPr>
        <b val="true"/>
        <sz val="10"/>
        <color rgb="FFFFFFFF"/>
        <rFont val="맑은 고딕"/>
        <family val="0"/>
        <charset val="1"/>
      </rPr>
      <t xml:space="preserve">(Cash Out)</t>
    </r>
  </si>
  <si>
    <t xml:space="preserve">지출소계</t>
  </si>
  <si>
    <t xml:space="preserve">잔액</t>
  </si>
  <si>
    <t xml:space="preserve">비고</t>
  </si>
  <si>
    <t xml:space="preserve">금액</t>
  </si>
  <si>
    <t xml:space="preserve">내역</t>
  </si>
  <si>
    <t xml:space="preserve">생활비</t>
  </si>
  <si>
    <t xml:space="preserve">카드대금</t>
  </si>
  <si>
    <t xml:space="preserve">대출상환</t>
  </si>
  <si>
    <r>
      <rPr>
        <b val="true"/>
        <sz val="10"/>
        <color rgb="FFFFFFFF"/>
        <rFont val="WenQuanYi Zen Hei"/>
        <family val="2"/>
      </rPr>
      <t xml:space="preserve">고정비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월세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보험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통신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</si>
  <si>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저축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투자</t>
    </r>
  </si>
  <si>
    <t xml:space="preserve">기타</t>
  </si>
  <si>
    <t xml:space="preserve">급여</t>
  </si>
  <si>
    <t xml:space="preserve">예시</t>
  </si>
  <si>
    <t xml:space="preserve">합계</t>
  </si>
  <si>
    <r>
      <rPr>
        <b val="true"/>
        <sz val="13"/>
        <rFont val="WenQuanYi Zen Hei"/>
        <family val="2"/>
      </rPr>
      <t xml:space="preserve">■ 개인 자금일보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계좌별 잔액현황</t>
    </r>
    <r>
      <rPr>
        <b val="true"/>
        <sz val="13"/>
        <rFont val="맑은 고딕"/>
        <family val="0"/>
        <charset val="1"/>
      </rPr>
      <t xml:space="preserve">, 2026</t>
    </r>
    <r>
      <rPr>
        <b val="true"/>
        <sz val="13"/>
        <rFont val="WenQuanYi Zen Hei"/>
        <family val="2"/>
      </rPr>
      <t xml:space="preserve">년</t>
    </r>
    <r>
      <rPr>
        <b val="true"/>
        <sz val="13"/>
        <rFont val="맑은 고딕"/>
        <family val="0"/>
        <charset val="1"/>
      </rPr>
      <t xml:space="preserve">, </t>
    </r>
    <r>
      <rPr>
        <b val="true"/>
        <sz val="13"/>
        <rFont val="WenQuanYi Zen Hei"/>
        <family val="2"/>
      </rPr>
      <t xml:space="preserve">단위</t>
    </r>
    <r>
      <rPr>
        <b val="true"/>
        <sz val="13"/>
        <rFont val="맑은 고딕"/>
        <family val="0"/>
        <charset val="1"/>
      </rPr>
      <t xml:space="preserve">: </t>
    </r>
    <r>
      <rPr>
        <b val="true"/>
        <sz val="13"/>
        <rFont val="WenQuanYi Zen Hei"/>
        <family val="2"/>
      </rPr>
      <t xml:space="preserve">원</t>
    </r>
    <r>
      <rPr>
        <b val="true"/>
        <sz val="13"/>
        <rFont val="맑은 고딕"/>
        <family val="0"/>
        <charset val="1"/>
      </rPr>
      <t xml:space="preserve">)</t>
    </r>
  </si>
  <si>
    <r>
      <rPr>
        <i val="true"/>
        <sz val="9"/>
        <color rgb="FF0070C0"/>
        <rFont val="WenQuanYi Zen Hei"/>
        <family val="2"/>
      </rPr>
      <t xml:space="preserve">※ 파란색 예시행을 참고해 입력하세요</t>
    </r>
    <r>
      <rPr>
        <i val="true"/>
        <sz val="9"/>
        <color rgb="FF0070C0"/>
        <rFont val="맑은 고딕"/>
        <family val="0"/>
        <charset val="1"/>
      </rPr>
      <t xml:space="preserve">. </t>
    </r>
    <r>
      <rPr>
        <i val="true"/>
        <sz val="9"/>
        <color rgb="FF0070C0"/>
        <rFont val="WenQuanYi Zen Hei"/>
        <family val="2"/>
      </rPr>
      <t xml:space="preserve">금일잔액 </t>
    </r>
    <r>
      <rPr>
        <i val="true"/>
        <sz val="9"/>
        <color rgb="FF0070C0"/>
        <rFont val="맑은 고딕"/>
        <family val="0"/>
        <charset val="1"/>
      </rPr>
      <t xml:space="preserve">= </t>
    </r>
    <r>
      <rPr>
        <i val="true"/>
        <sz val="9"/>
        <color rgb="FF0070C0"/>
        <rFont val="WenQuanYi Zen Hei"/>
        <family val="2"/>
      </rPr>
      <t xml:space="preserve">전일잔액 </t>
    </r>
    <r>
      <rPr>
        <i val="true"/>
        <sz val="9"/>
        <color rgb="FF0070C0"/>
        <rFont val="맑은 고딕"/>
        <family val="0"/>
        <charset val="1"/>
      </rPr>
      <t xml:space="preserve">+ </t>
    </r>
    <r>
      <rPr>
        <i val="true"/>
        <sz val="9"/>
        <color rgb="FF0070C0"/>
        <rFont val="WenQuanYi Zen Hei"/>
        <family val="2"/>
      </rPr>
      <t xml:space="preserve">증가 </t>
    </r>
    <r>
      <rPr>
        <i val="true"/>
        <sz val="9"/>
        <color rgb="FF0070C0"/>
        <rFont val="맑은 고딕"/>
        <family val="0"/>
        <charset val="1"/>
      </rPr>
      <t xml:space="preserve">- </t>
    </r>
    <r>
      <rPr>
        <i val="true"/>
        <sz val="9"/>
        <color rgb="FF0070C0"/>
        <rFont val="WenQuanYi Zen Hei"/>
        <family val="2"/>
      </rPr>
      <t xml:space="preserve">감소 </t>
    </r>
    <r>
      <rPr>
        <i val="true"/>
        <sz val="9"/>
        <color rgb="FF0070C0"/>
        <rFont val="맑은 고딕"/>
        <family val="0"/>
        <charset val="1"/>
      </rPr>
      <t xml:space="preserve">(</t>
    </r>
    <r>
      <rPr>
        <i val="true"/>
        <sz val="9"/>
        <color rgb="FF0070C0"/>
        <rFont val="WenQuanYi Zen Hei"/>
        <family val="2"/>
      </rPr>
      <t xml:space="preserve">자동 계산</t>
    </r>
    <r>
      <rPr>
        <i val="true"/>
        <sz val="9"/>
        <color rgb="FF0070C0"/>
        <rFont val="맑은 고딕"/>
        <family val="0"/>
        <charset val="1"/>
      </rPr>
      <t xml:space="preserve">)</t>
    </r>
  </si>
  <si>
    <t xml:space="preserve">구분</t>
  </si>
  <si>
    <t xml:space="preserve">금융기관</t>
  </si>
  <si>
    <t xml:space="preserve">계좌별칭</t>
  </si>
  <si>
    <t xml:space="preserve">계좌번호</t>
  </si>
  <si>
    <t xml:space="preserve">전일잔액</t>
  </si>
  <si>
    <t xml:space="preserve">증가</t>
  </si>
  <si>
    <t xml:space="preserve">감소</t>
  </si>
  <si>
    <t xml:space="preserve">금일잔액</t>
  </si>
  <si>
    <t xml:space="preserve">금리</t>
  </si>
  <si>
    <r>
      <rPr>
        <b val="true"/>
        <sz val="10"/>
        <rFont val="WenQuanYi Zen Hei"/>
        <family val="2"/>
      </rPr>
      <t xml:space="preserve">예금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수시입출금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</si>
  <si>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OO</t>
    </r>
    <r>
      <rPr>
        <sz val="10"/>
        <color rgb="FF0000FF"/>
        <rFont val="WenQuanYi Zen Hei"/>
        <family val="2"/>
      </rPr>
      <t xml:space="preserve">은행</t>
    </r>
  </si>
  <si>
    <t xml:space="preserve">급여통장</t>
  </si>
  <si>
    <t xml:space="preserve">110-123-456789</t>
  </si>
  <si>
    <t xml:space="preserve">예금 소계</t>
  </si>
  <si>
    <r>
      <rPr>
        <b val="true"/>
        <sz val="10"/>
        <rFont val="WenQuanYi Zen Hei"/>
        <family val="2"/>
      </rPr>
      <t xml:space="preserve">적금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정기예금</t>
    </r>
  </si>
  <si>
    <r>
      <rPr>
        <b val="true"/>
        <sz val="10"/>
        <color rgb="FF1F3864"/>
        <rFont val="WenQuanYi Zen Hei"/>
        <family val="2"/>
      </rPr>
      <t xml:space="preserve">적금</t>
    </r>
    <r>
      <rPr>
        <b val="true"/>
        <sz val="10"/>
        <color rgb="FF1F3864"/>
        <rFont val="맑은 고딕"/>
        <family val="0"/>
        <charset val="1"/>
      </rPr>
      <t xml:space="preserve">/</t>
    </r>
    <r>
      <rPr>
        <b val="true"/>
        <sz val="10"/>
        <color rgb="FF1F3864"/>
        <rFont val="WenQuanYi Zen Hei"/>
        <family val="2"/>
      </rPr>
      <t xml:space="preserve">정기예금 소계</t>
    </r>
  </si>
  <si>
    <r>
      <rPr>
        <b val="true"/>
        <sz val="10"/>
        <rFont val="WenQuanYi Zen Hei"/>
        <family val="2"/>
      </rPr>
      <t xml:space="preserve">증권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투자계좌</t>
    </r>
  </si>
  <si>
    <r>
      <rPr>
        <b val="true"/>
        <sz val="10"/>
        <color rgb="FF1F3864"/>
        <rFont val="WenQuanYi Zen Hei"/>
        <family val="2"/>
      </rPr>
      <t xml:space="preserve">증권</t>
    </r>
    <r>
      <rPr>
        <b val="true"/>
        <sz val="10"/>
        <color rgb="FF1F3864"/>
        <rFont val="맑은 고딕"/>
        <family val="0"/>
        <charset val="1"/>
      </rPr>
      <t xml:space="preserve">/</t>
    </r>
    <r>
      <rPr>
        <b val="true"/>
        <sz val="10"/>
        <color rgb="FF1F3864"/>
        <rFont val="WenQuanYi Zen Hei"/>
        <family val="2"/>
      </rPr>
      <t xml:space="preserve">투자계좌 소계</t>
    </r>
  </si>
  <si>
    <r>
      <rPr>
        <b val="true"/>
        <sz val="10"/>
        <rFont val="WenQuanYi Zen Hei"/>
        <family val="2"/>
      </rPr>
      <t xml:space="preserve">기타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카드포인트 등</t>
    </r>
    <r>
      <rPr>
        <b val="true"/>
        <sz val="10"/>
        <rFont val="맑은 고딕"/>
        <family val="0"/>
        <charset val="1"/>
      </rPr>
      <t xml:space="preserve">)</t>
    </r>
  </si>
  <si>
    <t xml:space="preserve">기타 소계</t>
  </si>
  <si>
    <t xml:space="preserve">총 자금 합계</t>
  </si>
  <si>
    <r>
      <rPr>
        <b val="true"/>
        <sz val="13"/>
        <rFont val="WenQuanYi Zen Hei"/>
        <family val="2"/>
      </rPr>
      <t xml:space="preserve">■ 개인 </t>
    </r>
    <r>
      <rPr>
        <b val="true"/>
        <sz val="13"/>
        <rFont val="맑은 고딕"/>
        <family val="0"/>
        <charset val="1"/>
      </rPr>
      <t xml:space="preserve">Cash Out (</t>
    </r>
    <r>
      <rPr>
        <b val="true"/>
        <sz val="13"/>
        <rFont val="WenQuanYi Zen Hei"/>
        <family val="2"/>
      </rPr>
      <t xml:space="preserve">지출 상세내역</t>
    </r>
    <r>
      <rPr>
        <b val="true"/>
        <sz val="13"/>
        <rFont val="맑은 고딕"/>
        <family val="0"/>
        <charset val="1"/>
      </rPr>
      <t xml:space="preserve">, 2026</t>
    </r>
    <r>
      <rPr>
        <b val="true"/>
        <sz val="13"/>
        <rFont val="WenQuanYi Zen Hei"/>
        <family val="2"/>
      </rPr>
      <t xml:space="preserve">년</t>
    </r>
    <r>
      <rPr>
        <b val="true"/>
        <sz val="13"/>
        <rFont val="맑은 고딕"/>
        <family val="0"/>
        <charset val="1"/>
      </rPr>
      <t xml:space="preserve">, </t>
    </r>
    <r>
      <rPr>
        <b val="true"/>
        <sz val="13"/>
        <rFont val="WenQuanYi Zen Hei"/>
        <family val="2"/>
      </rPr>
      <t xml:space="preserve">단위</t>
    </r>
    <r>
      <rPr>
        <b val="true"/>
        <sz val="13"/>
        <rFont val="맑은 고딕"/>
        <family val="0"/>
        <charset val="1"/>
      </rPr>
      <t xml:space="preserve">: </t>
    </r>
    <r>
      <rPr>
        <b val="true"/>
        <sz val="13"/>
        <rFont val="WenQuanYi Zen Hei"/>
        <family val="2"/>
      </rPr>
      <t xml:space="preserve">원</t>
    </r>
    <r>
      <rPr>
        <b val="true"/>
        <sz val="13"/>
        <rFont val="맑은 고딕"/>
        <family val="0"/>
        <charset val="1"/>
      </rPr>
      <t xml:space="preserve">)</t>
    </r>
  </si>
  <si>
    <r>
      <rPr>
        <i val="true"/>
        <sz val="9"/>
        <color rgb="FF0070C0"/>
        <rFont val="WenQuanYi Zen Hei"/>
        <family val="2"/>
      </rPr>
      <t xml:space="preserve">※ 파란색 예시행을 참고해 지출 발생 시마다 한 줄씩 입력하세요</t>
    </r>
    <r>
      <rPr>
        <i val="true"/>
        <sz val="9"/>
        <color rgb="FF0070C0"/>
        <rFont val="맑은 고딕"/>
        <family val="0"/>
        <charset val="1"/>
      </rPr>
      <t xml:space="preserve">.</t>
    </r>
  </si>
  <si>
    <t xml:space="preserve">순번</t>
  </si>
  <si>
    <t xml:space="preserve">지급수단</t>
  </si>
  <si>
    <t xml:space="preserve">지출일</t>
  </si>
  <si>
    <t xml:space="preserve">지출과목</t>
  </si>
  <si>
    <t xml:space="preserve">사용처</t>
  </si>
  <si>
    <r>
      <rPr>
        <b val="true"/>
        <sz val="10"/>
        <color rgb="FFFFFFFF"/>
        <rFont val="WenQuanYi Zen Hei"/>
        <family val="2"/>
      </rPr>
      <t xml:space="preserve">내용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적요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</si>
  <si>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</si>
  <si>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분류</t>
  </si>
  <si>
    <t xml:space="preserve">신용카드</t>
  </si>
  <si>
    <t xml:space="preserve">식비</t>
  </si>
  <si>
    <r>
      <rPr>
        <sz val="10"/>
        <color rgb="FF0000FF"/>
        <rFont val="맑은 고딕"/>
        <family val="0"/>
        <charset val="1"/>
      </rPr>
      <t xml:space="preserve">OO</t>
    </r>
    <r>
      <rPr>
        <sz val="10"/>
        <color rgb="FF0000FF"/>
        <rFont val="WenQuanYi Zen Hei"/>
        <family val="2"/>
      </rPr>
      <t xml:space="preserve">마트</t>
    </r>
  </si>
  <si>
    <t xml:space="preserve">주간 장보기</t>
  </si>
  <si>
    <t xml:space="preserve">변동비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</si>
</sst>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[RED]\(#,##0\)"/>
    <numFmt numFmtId="166" formatCode="yyyy\-mm\-dd"/>
    <numFmt numFmtId="167" formatCode="0.00%"/>
    <numFmt numFmtId="168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맑은 고딕"/>
      <family val="0"/>
      <charset val="1"/>
    </font>
    <font>
      <i val="true"/>
      <sz val="9"/>
      <color rgb="FF0070C0"/>
      <name val="WenQuanYi Zen Hei"/>
      <family val="2"/>
    </font>
    <font>
      <i val="true"/>
      <sz val="9"/>
      <color rgb="FF0070C0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FF"/>
      <name val="WenQuanYi Zen Hei"/>
      <family val="2"/>
    </font>
    <font>
      <sz val="10"/>
      <name val="맑은 고딕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6E4F0"/>
      </patternFill>
    </fill>
    <fill>
      <patternFill patternType="solid">
        <fgColor rgb="FF1F3864"/>
        <bgColor rgb="FF333333"/>
      </patternFill>
    </fill>
    <fill>
      <patternFill patternType="solid">
        <fgColor rgb="FFFFF9E6"/>
        <bgColor rgb="FFFFFFFF"/>
      </patternFill>
    </fill>
    <fill>
      <patternFill patternType="solid">
        <fgColor rgb="FF2E74B5"/>
        <bgColor rgb="FF0070C0"/>
      </patternFill>
    </fill>
    <fill>
      <patternFill patternType="solid">
        <fgColor rgb="FFD6E4F0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6"/>
      <rgbColor rgb="FFD6E4F0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10" min="5" style="0" width="11"/>
    <col collapsed="false" customWidth="true" hidden="false" outlineLevel="0" max="11" min="11" style="0" width="13"/>
    <col collapsed="false" customWidth="true" hidden="false" outlineLevel="0" max="13" min="12" style="0" width="14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4" t="n">
        <v>3000000</v>
      </c>
      <c r="M4" s="5" t="s">
        <v>3</v>
      </c>
    </row>
    <row r="5" customFormat="false" ht="18" hidden="false" customHeight="true" outlineLevel="0" collapsed="false">
      <c r="B5" s="6" t="s">
        <v>4</v>
      </c>
      <c r="C5" s="6" t="s">
        <v>5</v>
      </c>
      <c r="D5" s="6"/>
      <c r="E5" s="6" t="s">
        <v>6</v>
      </c>
      <c r="F5" s="6"/>
      <c r="G5" s="6"/>
      <c r="H5" s="6"/>
      <c r="I5" s="6"/>
      <c r="J5" s="6"/>
      <c r="K5" s="6" t="s">
        <v>7</v>
      </c>
      <c r="L5" s="6" t="s">
        <v>8</v>
      </c>
      <c r="M5" s="6" t="s">
        <v>9</v>
      </c>
    </row>
    <row r="6" customFormat="false" ht="27.75" hidden="false" customHeight="true" outlineLevel="0" collapsed="false">
      <c r="B6" s="6"/>
      <c r="C6" s="6" t="s">
        <v>10</v>
      </c>
      <c r="D6" s="6" t="s">
        <v>11</v>
      </c>
      <c r="E6" s="6" t="s">
        <v>12</v>
      </c>
      <c r="F6" s="6" t="s">
        <v>13</v>
      </c>
      <c r="G6" s="6" t="s">
        <v>14</v>
      </c>
      <c r="H6" s="6" t="s">
        <v>15</v>
      </c>
      <c r="I6" s="6" t="s">
        <v>16</v>
      </c>
      <c r="J6" s="6" t="s">
        <v>17</v>
      </c>
      <c r="K6" s="6"/>
      <c r="L6" s="6"/>
      <c r="M6" s="6"/>
    </row>
    <row r="7" customFormat="false" ht="15" hidden="false" customHeight="false" outlineLevel="0" collapsed="false">
      <c r="B7" s="7" t="n">
        <v>46204</v>
      </c>
      <c r="C7" s="8" t="n">
        <v>3000000</v>
      </c>
      <c r="D7" s="9" t="s">
        <v>18</v>
      </c>
      <c r="E7" s="8" t="n">
        <v>0</v>
      </c>
      <c r="F7" s="8" t="n">
        <v>0</v>
      </c>
      <c r="G7" s="8" t="n">
        <v>0</v>
      </c>
      <c r="H7" s="8" t="n">
        <v>800000</v>
      </c>
      <c r="I7" s="8" t="n">
        <v>0</v>
      </c>
      <c r="J7" s="8" t="n">
        <v>0</v>
      </c>
      <c r="K7" s="10" t="n">
        <f aca="false">SUM(E7:J7)</f>
        <v>800000</v>
      </c>
      <c r="L7" s="10" t="n">
        <f aca="false">L4+C7-K7</f>
        <v>5200000</v>
      </c>
      <c r="M7" s="11" t="s">
        <v>19</v>
      </c>
    </row>
    <row r="8" customFormat="false" ht="15" hidden="false" customHeight="false" outlineLevel="0" collapsed="false">
      <c r="B8" s="12"/>
      <c r="C8" s="4"/>
      <c r="D8" s="13"/>
      <c r="E8" s="4"/>
      <c r="F8" s="4"/>
      <c r="G8" s="4"/>
      <c r="H8" s="4"/>
      <c r="I8" s="4"/>
      <c r="J8" s="4"/>
      <c r="K8" s="14" t="n">
        <f aca="false">SUM(E8:J8)</f>
        <v>0</v>
      </c>
      <c r="L8" s="14" t="n">
        <f aca="false">L7+C8-K8</f>
        <v>5200000</v>
      </c>
      <c r="M8" s="15"/>
    </row>
    <row r="9" customFormat="false" ht="15" hidden="false" customHeight="false" outlineLevel="0" collapsed="false">
      <c r="B9" s="12"/>
      <c r="C9" s="4"/>
      <c r="D9" s="13"/>
      <c r="E9" s="4"/>
      <c r="F9" s="4"/>
      <c r="G9" s="4"/>
      <c r="H9" s="4"/>
      <c r="I9" s="4"/>
      <c r="J9" s="4"/>
      <c r="K9" s="14" t="n">
        <f aca="false">SUM(E9:J9)</f>
        <v>0</v>
      </c>
      <c r="L9" s="14" t="n">
        <f aca="false">L8+C9-K9</f>
        <v>5200000</v>
      </c>
      <c r="M9" s="15"/>
    </row>
    <row r="10" customFormat="false" ht="15" hidden="false" customHeight="false" outlineLevel="0" collapsed="false">
      <c r="B10" s="12"/>
      <c r="C10" s="4"/>
      <c r="D10" s="13"/>
      <c r="E10" s="4"/>
      <c r="F10" s="4"/>
      <c r="G10" s="4"/>
      <c r="H10" s="4"/>
      <c r="I10" s="4"/>
      <c r="J10" s="4"/>
      <c r="K10" s="14" t="n">
        <f aca="false">SUM(E10:J10)</f>
        <v>0</v>
      </c>
      <c r="L10" s="14" t="n">
        <f aca="false">L9+C10-K10</f>
        <v>5200000</v>
      </c>
      <c r="M10" s="15"/>
    </row>
    <row r="11" customFormat="false" ht="15" hidden="false" customHeight="false" outlineLevel="0" collapsed="false">
      <c r="B11" s="12"/>
      <c r="C11" s="4"/>
      <c r="D11" s="13"/>
      <c r="E11" s="4"/>
      <c r="F11" s="4"/>
      <c r="G11" s="4"/>
      <c r="H11" s="4"/>
      <c r="I11" s="4"/>
      <c r="J11" s="4"/>
      <c r="K11" s="14" t="n">
        <f aca="false">SUM(E11:J11)</f>
        <v>0</v>
      </c>
      <c r="L11" s="14" t="n">
        <f aca="false">L10+C11-K11</f>
        <v>5200000</v>
      </c>
      <c r="M11" s="15"/>
    </row>
    <row r="12" customFormat="false" ht="15" hidden="false" customHeight="false" outlineLevel="0" collapsed="false">
      <c r="B12" s="12"/>
      <c r="C12" s="4"/>
      <c r="D12" s="13"/>
      <c r="E12" s="4"/>
      <c r="F12" s="4"/>
      <c r="G12" s="4"/>
      <c r="H12" s="4"/>
      <c r="I12" s="4"/>
      <c r="J12" s="4"/>
      <c r="K12" s="14" t="n">
        <f aca="false">SUM(E12:J12)</f>
        <v>0</v>
      </c>
      <c r="L12" s="14" t="n">
        <f aca="false">L11+C12-K12</f>
        <v>5200000</v>
      </c>
      <c r="M12" s="15"/>
    </row>
    <row r="13" customFormat="false" ht="15" hidden="false" customHeight="false" outlineLevel="0" collapsed="false">
      <c r="B13" s="12"/>
      <c r="C13" s="4"/>
      <c r="D13" s="13"/>
      <c r="E13" s="4"/>
      <c r="F13" s="4"/>
      <c r="G13" s="4"/>
      <c r="H13" s="4"/>
      <c r="I13" s="4"/>
      <c r="J13" s="4"/>
      <c r="K13" s="14" t="n">
        <f aca="false">SUM(E13:J13)</f>
        <v>0</v>
      </c>
      <c r="L13" s="14" t="n">
        <f aca="false">L12+C13-K13</f>
        <v>5200000</v>
      </c>
      <c r="M13" s="15"/>
    </row>
    <row r="14" customFormat="false" ht="15" hidden="false" customHeight="false" outlineLevel="0" collapsed="false">
      <c r="B14" s="12"/>
      <c r="C14" s="4"/>
      <c r="D14" s="13"/>
      <c r="E14" s="4"/>
      <c r="F14" s="4"/>
      <c r="G14" s="4"/>
      <c r="H14" s="4"/>
      <c r="I14" s="4"/>
      <c r="J14" s="4"/>
      <c r="K14" s="14" t="n">
        <f aca="false">SUM(E14:J14)</f>
        <v>0</v>
      </c>
      <c r="L14" s="14" t="n">
        <f aca="false">L13+C14-K14</f>
        <v>5200000</v>
      </c>
      <c r="M14" s="15"/>
    </row>
    <row r="15" customFormat="false" ht="15" hidden="false" customHeight="false" outlineLevel="0" collapsed="false">
      <c r="B15" s="12"/>
      <c r="C15" s="4"/>
      <c r="D15" s="13"/>
      <c r="E15" s="4"/>
      <c r="F15" s="4"/>
      <c r="G15" s="4"/>
      <c r="H15" s="4"/>
      <c r="I15" s="4"/>
      <c r="J15" s="4"/>
      <c r="K15" s="14" t="n">
        <f aca="false">SUM(E15:J15)</f>
        <v>0</v>
      </c>
      <c r="L15" s="14" t="n">
        <f aca="false">L14+C15-K15</f>
        <v>5200000</v>
      </c>
      <c r="M15" s="15"/>
    </row>
    <row r="16" customFormat="false" ht="15" hidden="false" customHeight="false" outlineLevel="0" collapsed="false">
      <c r="B16" s="12"/>
      <c r="C16" s="4"/>
      <c r="D16" s="13"/>
      <c r="E16" s="4"/>
      <c r="F16" s="4"/>
      <c r="G16" s="4"/>
      <c r="H16" s="4"/>
      <c r="I16" s="4"/>
      <c r="J16" s="4"/>
      <c r="K16" s="14" t="n">
        <f aca="false">SUM(E16:J16)</f>
        <v>0</v>
      </c>
      <c r="L16" s="14" t="n">
        <f aca="false">L15+C16-K16</f>
        <v>5200000</v>
      </c>
      <c r="M16" s="15"/>
    </row>
    <row r="17" customFormat="false" ht="15" hidden="false" customHeight="false" outlineLevel="0" collapsed="false">
      <c r="B17" s="12"/>
      <c r="C17" s="4"/>
      <c r="D17" s="13"/>
      <c r="E17" s="4"/>
      <c r="F17" s="4"/>
      <c r="G17" s="4"/>
      <c r="H17" s="4"/>
      <c r="I17" s="4"/>
      <c r="J17" s="4"/>
      <c r="K17" s="14" t="n">
        <f aca="false">SUM(E17:J17)</f>
        <v>0</v>
      </c>
      <c r="L17" s="14" t="n">
        <f aca="false">L16+C17-K17</f>
        <v>5200000</v>
      </c>
      <c r="M17" s="15"/>
    </row>
    <row r="18" customFormat="false" ht="15" hidden="false" customHeight="false" outlineLevel="0" collapsed="false">
      <c r="B18" s="12"/>
      <c r="C18" s="4"/>
      <c r="D18" s="13"/>
      <c r="E18" s="4"/>
      <c r="F18" s="4"/>
      <c r="G18" s="4"/>
      <c r="H18" s="4"/>
      <c r="I18" s="4"/>
      <c r="J18" s="4"/>
      <c r="K18" s="14" t="n">
        <f aca="false">SUM(E18:J18)</f>
        <v>0</v>
      </c>
      <c r="L18" s="14" t="n">
        <f aca="false">L17+C18-K18</f>
        <v>5200000</v>
      </c>
      <c r="M18" s="15"/>
    </row>
    <row r="19" customFormat="false" ht="15" hidden="false" customHeight="false" outlineLevel="0" collapsed="false">
      <c r="B19" s="12"/>
      <c r="C19" s="4"/>
      <c r="D19" s="13"/>
      <c r="E19" s="4"/>
      <c r="F19" s="4"/>
      <c r="G19" s="4"/>
      <c r="H19" s="4"/>
      <c r="I19" s="4"/>
      <c r="J19" s="4"/>
      <c r="K19" s="14" t="n">
        <f aca="false">SUM(E19:J19)</f>
        <v>0</v>
      </c>
      <c r="L19" s="14" t="n">
        <f aca="false">L18+C19-K19</f>
        <v>5200000</v>
      </c>
      <c r="M19" s="15"/>
    </row>
    <row r="20" customFormat="false" ht="15" hidden="false" customHeight="false" outlineLevel="0" collapsed="false">
      <c r="B20" s="12"/>
      <c r="C20" s="4"/>
      <c r="D20" s="13"/>
      <c r="E20" s="4"/>
      <c r="F20" s="4"/>
      <c r="G20" s="4"/>
      <c r="H20" s="4"/>
      <c r="I20" s="4"/>
      <c r="J20" s="4"/>
      <c r="K20" s="14" t="n">
        <f aca="false">SUM(E20:J20)</f>
        <v>0</v>
      </c>
      <c r="L20" s="14" t="n">
        <f aca="false">L19+C20-K20</f>
        <v>5200000</v>
      </c>
      <c r="M20" s="15"/>
    </row>
    <row r="21" customFormat="false" ht="15" hidden="false" customHeight="false" outlineLevel="0" collapsed="false">
      <c r="B21" s="12"/>
      <c r="C21" s="4"/>
      <c r="D21" s="13"/>
      <c r="E21" s="4"/>
      <c r="F21" s="4"/>
      <c r="G21" s="4"/>
      <c r="H21" s="4"/>
      <c r="I21" s="4"/>
      <c r="J21" s="4"/>
      <c r="K21" s="14" t="n">
        <f aca="false">SUM(E21:J21)</f>
        <v>0</v>
      </c>
      <c r="L21" s="14" t="n">
        <f aca="false">L20+C21-K21</f>
        <v>5200000</v>
      </c>
      <c r="M21" s="15"/>
    </row>
    <row r="22" customFormat="false" ht="15" hidden="false" customHeight="false" outlineLevel="0" collapsed="false">
      <c r="B22" s="12"/>
      <c r="C22" s="4"/>
      <c r="D22" s="13"/>
      <c r="E22" s="4"/>
      <c r="F22" s="4"/>
      <c r="G22" s="4"/>
      <c r="H22" s="4"/>
      <c r="I22" s="4"/>
      <c r="J22" s="4"/>
      <c r="K22" s="14" t="n">
        <f aca="false">SUM(E22:J22)</f>
        <v>0</v>
      </c>
      <c r="L22" s="14" t="n">
        <f aca="false">L21+C22-K22</f>
        <v>5200000</v>
      </c>
      <c r="M22" s="15"/>
    </row>
    <row r="23" customFormat="false" ht="15" hidden="false" customHeight="false" outlineLevel="0" collapsed="false">
      <c r="B23" s="12"/>
      <c r="C23" s="4"/>
      <c r="D23" s="13"/>
      <c r="E23" s="4"/>
      <c r="F23" s="4"/>
      <c r="G23" s="4"/>
      <c r="H23" s="4"/>
      <c r="I23" s="4"/>
      <c r="J23" s="4"/>
      <c r="K23" s="14" t="n">
        <f aca="false">SUM(E23:J23)</f>
        <v>0</v>
      </c>
      <c r="L23" s="14" t="n">
        <f aca="false">L22+C23-K23</f>
        <v>5200000</v>
      </c>
      <c r="M23" s="15"/>
    </row>
    <row r="24" customFormat="false" ht="15" hidden="false" customHeight="false" outlineLevel="0" collapsed="false">
      <c r="B24" s="12"/>
      <c r="C24" s="4"/>
      <c r="D24" s="13"/>
      <c r="E24" s="4"/>
      <c r="F24" s="4"/>
      <c r="G24" s="4"/>
      <c r="H24" s="4"/>
      <c r="I24" s="4"/>
      <c r="J24" s="4"/>
      <c r="K24" s="14" t="n">
        <f aca="false">SUM(E24:J24)</f>
        <v>0</v>
      </c>
      <c r="L24" s="14" t="n">
        <f aca="false">L23+C24-K24</f>
        <v>5200000</v>
      </c>
      <c r="M24" s="15"/>
    </row>
    <row r="25" customFormat="false" ht="15" hidden="false" customHeight="false" outlineLevel="0" collapsed="false">
      <c r="B25" s="12"/>
      <c r="C25" s="4"/>
      <c r="D25" s="13"/>
      <c r="E25" s="4"/>
      <c r="F25" s="4"/>
      <c r="G25" s="4"/>
      <c r="H25" s="4"/>
      <c r="I25" s="4"/>
      <c r="J25" s="4"/>
      <c r="K25" s="14" t="n">
        <f aca="false">SUM(E25:J25)</f>
        <v>0</v>
      </c>
      <c r="L25" s="14" t="n">
        <f aca="false">L24+C25-K25</f>
        <v>5200000</v>
      </c>
      <c r="M25" s="15"/>
    </row>
    <row r="26" customFormat="false" ht="15" hidden="false" customHeight="false" outlineLevel="0" collapsed="false">
      <c r="B26" s="12"/>
      <c r="C26" s="4"/>
      <c r="D26" s="13"/>
      <c r="E26" s="4"/>
      <c r="F26" s="4"/>
      <c r="G26" s="4"/>
      <c r="H26" s="4"/>
      <c r="I26" s="4"/>
      <c r="J26" s="4"/>
      <c r="K26" s="14" t="n">
        <f aca="false">SUM(E26:J26)</f>
        <v>0</v>
      </c>
      <c r="L26" s="14" t="n">
        <f aca="false">L25+C26-K26</f>
        <v>5200000</v>
      </c>
      <c r="M26" s="15"/>
    </row>
    <row r="27" customFormat="false" ht="15" hidden="false" customHeight="false" outlineLevel="0" collapsed="false">
      <c r="B27" s="16" t="s">
        <v>20</v>
      </c>
      <c r="C27" s="17" t="n">
        <f aca="false">SUM(C7:C26)</f>
        <v>3000000</v>
      </c>
      <c r="D27" s="18"/>
      <c r="E27" s="18"/>
      <c r="F27" s="18"/>
      <c r="G27" s="18"/>
      <c r="H27" s="18"/>
      <c r="I27" s="18"/>
      <c r="J27" s="18"/>
      <c r="K27" s="17" t="n">
        <f aca="false">SUM(K7:K26)</f>
        <v>800000</v>
      </c>
      <c r="L27" s="17" t="n">
        <f aca="false">L26</f>
        <v>5200000</v>
      </c>
      <c r="M27" s="18"/>
    </row>
  </sheetData>
  <mergeCells count="9">
    <mergeCell ref="A1:M1"/>
    <mergeCell ref="A2:M2"/>
    <mergeCell ref="B4:K4"/>
    <mergeCell ref="B5:B6"/>
    <mergeCell ref="C5:D5"/>
    <mergeCell ref="E5:J5"/>
    <mergeCell ref="K5:K6"/>
    <mergeCell ref="L5:L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4"/>
  </cols>
  <sheetData>
    <row r="1" customFormat="false" ht="24" hidden="false" customHeight="true" outlineLevel="0" collapsed="false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8" hidden="false" customHeight="true" outlineLevel="0" collapsed="false">
      <c r="B4" s="6" t="s">
        <v>23</v>
      </c>
      <c r="C4" s="6" t="s">
        <v>24</v>
      </c>
      <c r="D4" s="6" t="s">
        <v>25</v>
      </c>
      <c r="E4" s="6" t="s">
        <v>26</v>
      </c>
      <c r="F4" s="6" t="s">
        <v>27</v>
      </c>
      <c r="G4" s="6" t="s">
        <v>28</v>
      </c>
      <c r="H4" s="6" t="s">
        <v>29</v>
      </c>
      <c r="I4" s="6" t="s">
        <v>30</v>
      </c>
      <c r="J4" s="6" t="s">
        <v>31</v>
      </c>
      <c r="K4" s="6" t="s">
        <v>9</v>
      </c>
    </row>
    <row r="5" customFormat="false" ht="15" hidden="false" customHeight="true" outlineLevel="0" collapsed="false">
      <c r="B5" s="3" t="s">
        <v>32</v>
      </c>
      <c r="C5" s="19" t="s">
        <v>33</v>
      </c>
      <c r="D5" s="9" t="s">
        <v>34</v>
      </c>
      <c r="E5" s="19" t="s">
        <v>35</v>
      </c>
      <c r="F5" s="20" t="n">
        <v>2500000</v>
      </c>
      <c r="G5" s="20" t="n">
        <v>3000000</v>
      </c>
      <c r="H5" s="20" t="n">
        <v>800000</v>
      </c>
      <c r="I5" s="10" t="n">
        <f aca="false">F5+G5-H5</f>
        <v>4700000</v>
      </c>
      <c r="J5" s="21"/>
      <c r="K5" s="11" t="s">
        <v>19</v>
      </c>
    </row>
    <row r="6" customFormat="false" ht="15" hidden="false" customHeight="false" outlineLevel="0" collapsed="false">
      <c r="B6" s="3"/>
      <c r="C6" s="13"/>
      <c r="D6" s="13"/>
      <c r="E6" s="13"/>
      <c r="F6" s="22"/>
      <c r="G6" s="22"/>
      <c r="H6" s="22"/>
      <c r="I6" s="14" t="n">
        <f aca="false">F6+G6-H6</f>
        <v>0</v>
      </c>
      <c r="J6" s="23"/>
      <c r="K6" s="15"/>
    </row>
    <row r="7" customFormat="false" ht="15" hidden="false" customHeight="false" outlineLevel="0" collapsed="false">
      <c r="B7" s="3"/>
      <c r="C7" s="13"/>
      <c r="D7" s="13"/>
      <c r="E7" s="13"/>
      <c r="F7" s="22"/>
      <c r="G7" s="22"/>
      <c r="H7" s="22"/>
      <c r="I7" s="14" t="n">
        <f aca="false">F7+G7-H7</f>
        <v>0</v>
      </c>
      <c r="J7" s="23"/>
      <c r="K7" s="15"/>
    </row>
    <row r="8" customFormat="false" ht="15" hidden="false" customHeight="true" outlineLevel="0" collapsed="false">
      <c r="B8" s="24"/>
      <c r="C8" s="25" t="s">
        <v>36</v>
      </c>
      <c r="D8" s="25"/>
      <c r="E8" s="25"/>
      <c r="F8" s="26" t="n">
        <f aca="false">SUM(F5:F7)</f>
        <v>2500000</v>
      </c>
      <c r="G8" s="26" t="n">
        <f aca="false">SUM(G5:G7)</f>
        <v>3000000</v>
      </c>
      <c r="H8" s="26" t="n">
        <f aca="false">SUM(H5:H7)</f>
        <v>800000</v>
      </c>
      <c r="I8" s="26" t="n">
        <f aca="false">SUM(I5:I7)</f>
        <v>4700000</v>
      </c>
      <c r="J8" s="24"/>
      <c r="K8" s="24"/>
    </row>
    <row r="10" customFormat="false" ht="15" hidden="false" customHeight="true" outlineLevel="0" collapsed="false">
      <c r="B10" s="3" t="s">
        <v>37</v>
      </c>
      <c r="C10" s="13"/>
      <c r="D10" s="13"/>
      <c r="E10" s="13"/>
      <c r="F10" s="22"/>
      <c r="G10" s="22"/>
      <c r="H10" s="22"/>
      <c r="I10" s="14" t="n">
        <f aca="false">F10+G10-H10</f>
        <v>0</v>
      </c>
      <c r="J10" s="23"/>
      <c r="K10" s="15"/>
    </row>
    <row r="11" customFormat="false" ht="15" hidden="false" customHeight="false" outlineLevel="0" collapsed="false">
      <c r="B11" s="3"/>
      <c r="C11" s="13"/>
      <c r="D11" s="13"/>
      <c r="E11" s="13"/>
      <c r="F11" s="22"/>
      <c r="G11" s="22"/>
      <c r="H11" s="22"/>
      <c r="I11" s="14" t="n">
        <f aca="false">F11+G11-H11</f>
        <v>0</v>
      </c>
      <c r="J11" s="23"/>
      <c r="K11" s="15"/>
    </row>
    <row r="12" customFormat="false" ht="15" hidden="false" customHeight="true" outlineLevel="0" collapsed="false">
      <c r="B12" s="24"/>
      <c r="C12" s="25" t="s">
        <v>38</v>
      </c>
      <c r="D12" s="25"/>
      <c r="E12" s="25"/>
      <c r="F12" s="26" t="n">
        <f aca="false">SUM(F10:F11)</f>
        <v>0</v>
      </c>
      <c r="G12" s="26" t="n">
        <f aca="false">SUM(G10:G11)</f>
        <v>0</v>
      </c>
      <c r="H12" s="26" t="n">
        <f aca="false">SUM(H10:H11)</f>
        <v>0</v>
      </c>
      <c r="I12" s="26" t="n">
        <f aca="false">SUM(I10:I11)</f>
        <v>0</v>
      </c>
      <c r="J12" s="24"/>
      <c r="K12" s="24"/>
    </row>
    <row r="14" customFormat="false" ht="15" hidden="false" customHeight="true" outlineLevel="0" collapsed="false">
      <c r="B14" s="3" t="s">
        <v>39</v>
      </c>
      <c r="C14" s="13"/>
      <c r="D14" s="13"/>
      <c r="E14" s="13"/>
      <c r="F14" s="22"/>
      <c r="G14" s="22"/>
      <c r="H14" s="22"/>
      <c r="I14" s="14" t="n">
        <f aca="false">F14+G14-H14</f>
        <v>0</v>
      </c>
      <c r="J14" s="23"/>
      <c r="K14" s="15"/>
    </row>
    <row r="15" customFormat="false" ht="15" hidden="false" customHeight="false" outlineLevel="0" collapsed="false">
      <c r="B15" s="3"/>
      <c r="C15" s="13"/>
      <c r="D15" s="13"/>
      <c r="E15" s="13"/>
      <c r="F15" s="22"/>
      <c r="G15" s="22"/>
      <c r="H15" s="22"/>
      <c r="I15" s="14" t="n">
        <f aca="false">F15+G15-H15</f>
        <v>0</v>
      </c>
      <c r="J15" s="23"/>
      <c r="K15" s="15"/>
    </row>
    <row r="16" customFormat="false" ht="15" hidden="false" customHeight="true" outlineLevel="0" collapsed="false">
      <c r="B16" s="24"/>
      <c r="C16" s="25" t="s">
        <v>40</v>
      </c>
      <c r="D16" s="25"/>
      <c r="E16" s="25"/>
      <c r="F16" s="26" t="n">
        <f aca="false">SUM(F14:F15)</f>
        <v>0</v>
      </c>
      <c r="G16" s="26" t="n">
        <f aca="false">SUM(G14:G15)</f>
        <v>0</v>
      </c>
      <c r="H16" s="26" t="n">
        <f aca="false">SUM(H14:H15)</f>
        <v>0</v>
      </c>
      <c r="I16" s="26" t="n">
        <f aca="false">SUM(I14:I15)</f>
        <v>0</v>
      </c>
      <c r="J16" s="24"/>
      <c r="K16" s="24"/>
    </row>
    <row r="18" customFormat="false" ht="26.85" hidden="false" customHeight="false" outlineLevel="0" collapsed="false">
      <c r="B18" s="3" t="s">
        <v>41</v>
      </c>
      <c r="C18" s="13"/>
      <c r="D18" s="13"/>
      <c r="E18" s="13"/>
      <c r="F18" s="22"/>
      <c r="G18" s="22"/>
      <c r="H18" s="22"/>
      <c r="I18" s="14" t="n">
        <f aca="false">F18+G18-H18</f>
        <v>0</v>
      </c>
      <c r="J18" s="23"/>
      <c r="K18" s="15"/>
    </row>
    <row r="19" customFormat="false" ht="15" hidden="false" customHeight="true" outlineLevel="0" collapsed="false">
      <c r="B19" s="24"/>
      <c r="C19" s="25" t="s">
        <v>42</v>
      </c>
      <c r="D19" s="25"/>
      <c r="E19" s="25"/>
      <c r="F19" s="26" t="n">
        <f aca="false">SUM(F18:F18)</f>
        <v>0</v>
      </c>
      <c r="G19" s="26" t="n">
        <f aca="false">SUM(G18:G18)</f>
        <v>0</v>
      </c>
      <c r="H19" s="26" t="n">
        <f aca="false">SUM(H18:H18)</f>
        <v>0</v>
      </c>
      <c r="I19" s="26" t="n">
        <f aca="false">SUM(I18:I18)</f>
        <v>0</v>
      </c>
      <c r="J19" s="24"/>
      <c r="K19" s="24"/>
    </row>
    <row r="21" customFormat="false" ht="15" hidden="false" customHeight="true" outlineLevel="0" collapsed="false">
      <c r="B21" s="16" t="s">
        <v>43</v>
      </c>
      <c r="C21" s="16"/>
      <c r="D21" s="16"/>
      <c r="E21" s="16"/>
      <c r="F21" s="17" t="n">
        <f aca="false">F8+F12+F16+F19</f>
        <v>2500000</v>
      </c>
      <c r="G21" s="17" t="n">
        <f aca="false">G8+G12+G16+G19</f>
        <v>3000000</v>
      </c>
      <c r="H21" s="17" t="n">
        <f aca="false">H8+H12+H16+H19</f>
        <v>800000</v>
      </c>
      <c r="I21" s="17" t="n">
        <f aca="false">I8+I12+I16+I19</f>
        <v>4700000</v>
      </c>
      <c r="J21" s="18"/>
      <c r="K21" s="18"/>
    </row>
  </sheetData>
  <mergeCells count="10">
    <mergeCell ref="A1:K1"/>
    <mergeCell ref="A2:K2"/>
    <mergeCell ref="B5:B7"/>
    <mergeCell ref="C8:E8"/>
    <mergeCell ref="B10:B11"/>
    <mergeCell ref="C12:E12"/>
    <mergeCell ref="B14:B15"/>
    <mergeCell ref="C16:E16"/>
    <mergeCell ref="C19:E19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6"/>
  </cols>
  <sheetData>
    <row r="1" customFormat="false" ht="24" hidden="false" customHeight="true" outlineLevel="0" collapsed="false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8" hidden="false" customHeight="true" outlineLevel="0" collapsed="false">
      <c r="B4" s="6" t="s">
        <v>46</v>
      </c>
      <c r="C4" s="6" t="s">
        <v>47</v>
      </c>
      <c r="D4" s="6" t="s">
        <v>48</v>
      </c>
      <c r="E4" s="6" t="s">
        <v>49</v>
      </c>
      <c r="F4" s="6" t="s">
        <v>50</v>
      </c>
      <c r="G4" s="6" t="s">
        <v>51</v>
      </c>
      <c r="H4" s="6" t="s">
        <v>52</v>
      </c>
      <c r="I4" s="6" t="s">
        <v>53</v>
      </c>
      <c r="J4" s="6" t="s">
        <v>9</v>
      </c>
    </row>
    <row r="5" customFormat="false" ht="15" hidden="false" customHeight="false" outlineLevel="0" collapsed="false">
      <c r="B5" s="27" t="n">
        <f aca="false">IF(F5="","",ROW()-4)</f>
        <v>1</v>
      </c>
      <c r="C5" s="28" t="s">
        <v>54</v>
      </c>
      <c r="D5" s="7" t="n">
        <v>46204</v>
      </c>
      <c r="E5" s="28" t="s">
        <v>55</v>
      </c>
      <c r="F5" s="19" t="s">
        <v>56</v>
      </c>
      <c r="G5" s="9" t="s">
        <v>57</v>
      </c>
      <c r="H5" s="29" t="n">
        <v>85000</v>
      </c>
      <c r="I5" s="28" t="s">
        <v>58</v>
      </c>
      <c r="J5" s="11" t="s">
        <v>19</v>
      </c>
    </row>
    <row r="6" customFormat="false" ht="15" hidden="false" customHeight="false" outlineLevel="0" collapsed="false">
      <c r="B6" s="30" t="str">
        <f aca="false">IF(F6="","",ROW()-4)</f>
        <v/>
      </c>
      <c r="C6" s="31"/>
      <c r="D6" s="12"/>
      <c r="E6" s="31"/>
      <c r="F6" s="13"/>
      <c r="G6" s="13"/>
      <c r="H6" s="32"/>
      <c r="I6" s="31"/>
      <c r="J6" s="15"/>
    </row>
    <row r="7" customFormat="false" ht="15" hidden="false" customHeight="false" outlineLevel="0" collapsed="false">
      <c r="B7" s="30" t="str">
        <f aca="false">IF(F7="","",ROW()-4)</f>
        <v/>
      </c>
      <c r="C7" s="31"/>
      <c r="D7" s="12"/>
      <c r="E7" s="31"/>
      <c r="F7" s="13"/>
      <c r="G7" s="13"/>
      <c r="H7" s="32"/>
      <c r="I7" s="31"/>
      <c r="J7" s="15"/>
    </row>
    <row r="8" customFormat="false" ht="15" hidden="false" customHeight="false" outlineLevel="0" collapsed="false">
      <c r="B8" s="30" t="str">
        <f aca="false">IF(F8="","",ROW()-4)</f>
        <v/>
      </c>
      <c r="C8" s="31"/>
      <c r="D8" s="12"/>
      <c r="E8" s="31"/>
      <c r="F8" s="13"/>
      <c r="G8" s="13"/>
      <c r="H8" s="32"/>
      <c r="I8" s="31"/>
      <c r="J8" s="15"/>
    </row>
    <row r="9" customFormat="false" ht="15" hidden="false" customHeight="false" outlineLevel="0" collapsed="false">
      <c r="B9" s="30" t="str">
        <f aca="false">IF(F9="","",ROW()-4)</f>
        <v/>
      </c>
      <c r="C9" s="31"/>
      <c r="D9" s="12"/>
      <c r="E9" s="31"/>
      <c r="F9" s="13"/>
      <c r="G9" s="13"/>
      <c r="H9" s="32"/>
      <c r="I9" s="31"/>
      <c r="J9" s="15"/>
    </row>
    <row r="10" customFormat="false" ht="15" hidden="false" customHeight="false" outlineLevel="0" collapsed="false">
      <c r="B10" s="30" t="str">
        <f aca="false">IF(F10="","",ROW()-4)</f>
        <v/>
      </c>
      <c r="C10" s="31"/>
      <c r="D10" s="12"/>
      <c r="E10" s="31"/>
      <c r="F10" s="13"/>
      <c r="G10" s="13"/>
      <c r="H10" s="32"/>
      <c r="I10" s="31"/>
      <c r="J10" s="15"/>
    </row>
    <row r="11" customFormat="false" ht="15" hidden="false" customHeight="false" outlineLevel="0" collapsed="false">
      <c r="B11" s="30" t="str">
        <f aca="false">IF(F11="","",ROW()-4)</f>
        <v/>
      </c>
      <c r="C11" s="31"/>
      <c r="D11" s="12"/>
      <c r="E11" s="31"/>
      <c r="F11" s="13"/>
      <c r="G11" s="13"/>
      <c r="H11" s="32"/>
      <c r="I11" s="31"/>
      <c r="J11" s="15"/>
    </row>
    <row r="12" customFormat="false" ht="15" hidden="false" customHeight="false" outlineLevel="0" collapsed="false">
      <c r="B12" s="30" t="str">
        <f aca="false">IF(F12="","",ROW()-4)</f>
        <v/>
      </c>
      <c r="C12" s="31"/>
      <c r="D12" s="12"/>
      <c r="E12" s="31"/>
      <c r="F12" s="13"/>
      <c r="G12" s="13"/>
      <c r="H12" s="32"/>
      <c r="I12" s="31"/>
      <c r="J12" s="15"/>
    </row>
    <row r="13" customFormat="false" ht="15" hidden="false" customHeight="false" outlineLevel="0" collapsed="false">
      <c r="B13" s="30" t="str">
        <f aca="false">IF(F13="","",ROW()-4)</f>
        <v/>
      </c>
      <c r="C13" s="31"/>
      <c r="D13" s="12"/>
      <c r="E13" s="31"/>
      <c r="F13" s="13"/>
      <c r="G13" s="13"/>
      <c r="H13" s="32"/>
      <c r="I13" s="31"/>
      <c r="J13" s="15"/>
    </row>
    <row r="14" customFormat="false" ht="15" hidden="false" customHeight="false" outlineLevel="0" collapsed="false">
      <c r="B14" s="30" t="str">
        <f aca="false">IF(F14="","",ROW()-4)</f>
        <v/>
      </c>
      <c r="C14" s="31"/>
      <c r="D14" s="12"/>
      <c r="E14" s="31"/>
      <c r="F14" s="13"/>
      <c r="G14" s="13"/>
      <c r="H14" s="32"/>
      <c r="I14" s="31"/>
      <c r="J14" s="15"/>
    </row>
    <row r="15" customFormat="false" ht="15" hidden="false" customHeight="false" outlineLevel="0" collapsed="false">
      <c r="B15" s="30" t="str">
        <f aca="false">IF(F15="","",ROW()-4)</f>
        <v/>
      </c>
      <c r="C15" s="31"/>
      <c r="D15" s="12"/>
      <c r="E15" s="31"/>
      <c r="F15" s="13"/>
      <c r="G15" s="13"/>
      <c r="H15" s="32"/>
      <c r="I15" s="31"/>
      <c r="J15" s="15"/>
    </row>
    <row r="16" customFormat="false" ht="15" hidden="false" customHeight="false" outlineLevel="0" collapsed="false">
      <c r="B16" s="30" t="str">
        <f aca="false">IF(F16="","",ROW()-4)</f>
        <v/>
      </c>
      <c r="C16" s="31"/>
      <c r="D16" s="12"/>
      <c r="E16" s="31"/>
      <c r="F16" s="13"/>
      <c r="G16" s="13"/>
      <c r="H16" s="32"/>
      <c r="I16" s="31"/>
      <c r="J16" s="15"/>
    </row>
    <row r="17" customFormat="false" ht="15" hidden="false" customHeight="false" outlineLevel="0" collapsed="false">
      <c r="B17" s="30" t="str">
        <f aca="false">IF(F17="","",ROW()-4)</f>
        <v/>
      </c>
      <c r="C17" s="31"/>
      <c r="D17" s="12"/>
      <c r="E17" s="31"/>
      <c r="F17" s="13"/>
      <c r="G17" s="13"/>
      <c r="H17" s="32"/>
      <c r="I17" s="31"/>
      <c r="J17" s="15"/>
    </row>
    <row r="18" customFormat="false" ht="15" hidden="false" customHeight="false" outlineLevel="0" collapsed="false">
      <c r="B18" s="30" t="str">
        <f aca="false">IF(F18="","",ROW()-4)</f>
        <v/>
      </c>
      <c r="C18" s="31"/>
      <c r="D18" s="12"/>
      <c r="E18" s="31"/>
      <c r="F18" s="13"/>
      <c r="G18" s="13"/>
      <c r="H18" s="32"/>
      <c r="I18" s="31"/>
      <c r="J18" s="15"/>
    </row>
    <row r="19" customFormat="false" ht="15" hidden="false" customHeight="false" outlineLevel="0" collapsed="false">
      <c r="B19" s="30" t="str">
        <f aca="false">IF(F19="","",ROW()-4)</f>
        <v/>
      </c>
      <c r="C19" s="31"/>
      <c r="D19" s="12"/>
      <c r="E19" s="31"/>
      <c r="F19" s="13"/>
      <c r="G19" s="13"/>
      <c r="H19" s="32"/>
      <c r="I19" s="31"/>
      <c r="J19" s="15"/>
    </row>
    <row r="20" customFormat="false" ht="15" hidden="false" customHeight="false" outlineLevel="0" collapsed="false">
      <c r="B20" s="30" t="str">
        <f aca="false">IF(F20="","",ROW()-4)</f>
        <v/>
      </c>
      <c r="C20" s="31"/>
      <c r="D20" s="12"/>
      <c r="E20" s="31"/>
      <c r="F20" s="13"/>
      <c r="G20" s="13"/>
      <c r="H20" s="32"/>
      <c r="I20" s="31"/>
      <c r="J20" s="15"/>
    </row>
    <row r="21" customFormat="false" ht="15" hidden="false" customHeight="false" outlineLevel="0" collapsed="false">
      <c r="B21" s="30" t="str">
        <f aca="false">IF(F21="","",ROW()-4)</f>
        <v/>
      </c>
      <c r="C21" s="31"/>
      <c r="D21" s="12"/>
      <c r="E21" s="31"/>
      <c r="F21" s="13"/>
      <c r="G21" s="13"/>
      <c r="H21" s="32"/>
      <c r="I21" s="31"/>
      <c r="J21" s="15"/>
    </row>
    <row r="22" customFormat="false" ht="15" hidden="false" customHeight="false" outlineLevel="0" collapsed="false">
      <c r="B22" s="30" t="str">
        <f aca="false">IF(F22="","",ROW()-4)</f>
        <v/>
      </c>
      <c r="C22" s="31"/>
      <c r="D22" s="12"/>
      <c r="E22" s="31"/>
      <c r="F22" s="13"/>
      <c r="G22" s="13"/>
      <c r="H22" s="32"/>
      <c r="I22" s="31"/>
      <c r="J22" s="15"/>
    </row>
    <row r="23" customFormat="false" ht="15" hidden="false" customHeight="false" outlineLevel="0" collapsed="false">
      <c r="B23" s="30" t="str">
        <f aca="false">IF(F23="","",ROW()-4)</f>
        <v/>
      </c>
      <c r="C23" s="31"/>
      <c r="D23" s="12"/>
      <c r="E23" s="31"/>
      <c r="F23" s="13"/>
      <c r="G23" s="13"/>
      <c r="H23" s="32"/>
      <c r="I23" s="31"/>
      <c r="J23" s="15"/>
    </row>
    <row r="24" customFormat="false" ht="15" hidden="false" customHeight="false" outlineLevel="0" collapsed="false">
      <c r="B24" s="30" t="str">
        <f aca="false">IF(F24="","",ROW()-4)</f>
        <v/>
      </c>
      <c r="C24" s="31"/>
      <c r="D24" s="12"/>
      <c r="E24" s="31"/>
      <c r="F24" s="13"/>
      <c r="G24" s="13"/>
      <c r="H24" s="32"/>
      <c r="I24" s="31"/>
      <c r="J24" s="15"/>
    </row>
    <row r="25" customFormat="false" ht="15" hidden="false" customHeight="false" outlineLevel="0" collapsed="false">
      <c r="B25" s="30" t="str">
        <f aca="false">IF(F25="","",ROW()-4)</f>
        <v/>
      </c>
      <c r="C25" s="31"/>
      <c r="D25" s="12"/>
      <c r="E25" s="31"/>
      <c r="F25" s="13"/>
      <c r="G25" s="13"/>
      <c r="H25" s="32"/>
      <c r="I25" s="31"/>
      <c r="J25" s="15"/>
    </row>
    <row r="26" customFormat="false" ht="15" hidden="false" customHeight="false" outlineLevel="0" collapsed="false">
      <c r="B26" s="30" t="str">
        <f aca="false">IF(F26="","",ROW()-4)</f>
        <v/>
      </c>
      <c r="C26" s="31"/>
      <c r="D26" s="12"/>
      <c r="E26" s="31"/>
      <c r="F26" s="13"/>
      <c r="G26" s="13"/>
      <c r="H26" s="32"/>
      <c r="I26" s="31"/>
      <c r="J26" s="15"/>
    </row>
    <row r="27" customFormat="false" ht="15" hidden="false" customHeight="false" outlineLevel="0" collapsed="false">
      <c r="B27" s="30" t="str">
        <f aca="false">IF(F27="","",ROW()-4)</f>
        <v/>
      </c>
      <c r="C27" s="31"/>
      <c r="D27" s="12"/>
      <c r="E27" s="31"/>
      <c r="F27" s="13"/>
      <c r="G27" s="13"/>
      <c r="H27" s="32"/>
      <c r="I27" s="31"/>
      <c r="J27" s="15"/>
    </row>
    <row r="28" customFormat="false" ht="15" hidden="false" customHeight="false" outlineLevel="0" collapsed="false">
      <c r="B28" s="30" t="str">
        <f aca="false">IF(F28="","",ROW()-4)</f>
        <v/>
      </c>
      <c r="C28" s="31"/>
      <c r="D28" s="12"/>
      <c r="E28" s="31"/>
      <c r="F28" s="13"/>
      <c r="G28" s="13"/>
      <c r="H28" s="32"/>
      <c r="I28" s="31"/>
      <c r="J28" s="15"/>
    </row>
    <row r="29" customFormat="false" ht="15" hidden="false" customHeight="false" outlineLevel="0" collapsed="false">
      <c r="B29" s="30" t="str">
        <f aca="false">IF(F29="","",ROW()-4)</f>
        <v/>
      </c>
      <c r="C29" s="31"/>
      <c r="D29" s="12"/>
      <c r="E29" s="31"/>
      <c r="F29" s="13"/>
      <c r="G29" s="13"/>
      <c r="H29" s="32"/>
      <c r="I29" s="31"/>
      <c r="J29" s="15"/>
    </row>
    <row r="30" customFormat="false" ht="15" hidden="false" customHeight="false" outlineLevel="0" collapsed="false">
      <c r="B30" s="30" t="str">
        <f aca="false">IF(F30="","",ROW()-4)</f>
        <v/>
      </c>
      <c r="C30" s="31"/>
      <c r="D30" s="12"/>
      <c r="E30" s="31"/>
      <c r="F30" s="13"/>
      <c r="G30" s="13"/>
      <c r="H30" s="32"/>
      <c r="I30" s="31"/>
      <c r="J30" s="15"/>
    </row>
    <row r="31" customFormat="false" ht="15" hidden="false" customHeight="false" outlineLevel="0" collapsed="false">
      <c r="B31" s="30" t="str">
        <f aca="false">IF(F31="","",ROW()-4)</f>
        <v/>
      </c>
      <c r="C31" s="31"/>
      <c r="D31" s="12"/>
      <c r="E31" s="31"/>
      <c r="F31" s="13"/>
      <c r="G31" s="13"/>
      <c r="H31" s="32"/>
      <c r="I31" s="31"/>
      <c r="J31" s="15"/>
    </row>
    <row r="32" customFormat="false" ht="15" hidden="false" customHeight="false" outlineLevel="0" collapsed="false">
      <c r="B32" s="30" t="str">
        <f aca="false">IF(F32="","",ROW()-4)</f>
        <v/>
      </c>
      <c r="C32" s="31"/>
      <c r="D32" s="12"/>
      <c r="E32" s="31"/>
      <c r="F32" s="13"/>
      <c r="G32" s="13"/>
      <c r="H32" s="32"/>
      <c r="I32" s="31"/>
      <c r="J32" s="15"/>
    </row>
    <row r="33" customFormat="false" ht="15" hidden="false" customHeight="false" outlineLevel="0" collapsed="false">
      <c r="B33" s="30" t="str">
        <f aca="false">IF(F33="","",ROW()-4)</f>
        <v/>
      </c>
      <c r="C33" s="31"/>
      <c r="D33" s="12"/>
      <c r="E33" s="31"/>
      <c r="F33" s="13"/>
      <c r="G33" s="13"/>
      <c r="H33" s="32"/>
      <c r="I33" s="31"/>
      <c r="J33" s="15"/>
    </row>
    <row r="34" customFormat="false" ht="15" hidden="false" customHeight="false" outlineLevel="0" collapsed="false">
      <c r="B34" s="30" t="str">
        <f aca="false">IF(F34="","",ROW()-4)</f>
        <v/>
      </c>
      <c r="C34" s="31"/>
      <c r="D34" s="12"/>
      <c r="E34" s="31"/>
      <c r="F34" s="13"/>
      <c r="G34" s="13"/>
      <c r="H34" s="32"/>
      <c r="I34" s="31"/>
      <c r="J34" s="15"/>
    </row>
    <row r="35" customFormat="false" ht="15" hidden="false" customHeight="true" outlineLevel="0" collapsed="false">
      <c r="B35" s="16" t="s">
        <v>20</v>
      </c>
      <c r="C35" s="16"/>
      <c r="D35" s="16"/>
      <c r="E35" s="16"/>
      <c r="F35" s="16"/>
      <c r="G35" s="18"/>
      <c r="H35" s="17" t="n">
        <f aca="false">SUM(H5:H34)</f>
        <v>85000</v>
      </c>
      <c r="I35" s="18"/>
      <c r="J35" s="18"/>
    </row>
  </sheetData>
  <mergeCells count="3">
    <mergeCell ref="A1:J1"/>
    <mergeCell ref="A2:J2"/>
    <mergeCell ref="B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2026-07-23T07:12:02Z</dcterms:created>
  <dc:creator>openpyxl</dc:creator>
  <dc:description/>
  <dc:language>en-US</dc:language>
  <cp:lastModifiedBy/>
  <dcterms:modified xsi:type="dcterms:W3CDTF">2026-07-23T07:12:02Z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