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인원현황(서울)" sheetId="1" state="visible" r:id="rId1"/>
    <sheet name="26. 06월" sheetId="2" state="visible" r:id="rId2"/>
    <sheet name="26. 05월" sheetId="3" state="visible" r:id="rId3"/>
    <sheet name="26. 04월" sheetId="4" state="visible" r:id="rId4"/>
    <sheet name="26. 03월" sheetId="5" state="visible" r:id="rId5"/>
    <sheet name="26. 02월 " sheetId="6" state="visible" r:id="rId6"/>
  </sheets>
  <definedNames>
    <definedName name="_xlnm._FilterDatabase" localSheetId="0" hidden="1">'인원현황(서울)'!$A$1:$F$41</definedName>
    <definedName name="_xlnm._FilterDatabase" localSheetId="1" hidden="1">'26. 06월'!$A$4:$F$8</definedName>
    <definedName name="_xlnm._FilterDatabase" localSheetId="2" hidden="1">'26. 05월'!$A$4:$F$8</definedName>
    <definedName name="_xlnm._FilterDatabase" localSheetId="3" hidden="1">'26. 04월'!$A$4:$F$9</definedName>
    <definedName name="_xlnm._FilterDatabase" localSheetId="4" hidden="1">'26. 03월'!$A$4:$F$12</definedName>
    <definedName name="_xlnm._FilterDatabase" localSheetId="5" hidden="1">'26. 02월 '!$A$4:$F$12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\(#,##0\)"/>
    <numFmt numFmtId="165" formatCode="#,##0;[Red]#,##0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lightUp"/>
    </fill>
    <fill>
      <patternFill patternType="lightUp">
        <bgColor theme="0" tint="-0.049989318521683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8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2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55" fontId="3" fillId="2" borderId="13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0" applyAlignment="1" pivotButton="0" quotePrefix="0" xfId="1">
      <alignment horizontal="center" vertical="center"/>
    </xf>
    <xf numFmtId="164" fontId="2" fillId="0" borderId="0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0" fontId="4" fillId="3" borderId="1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0" fontId="3" fillId="4" borderId="14" applyAlignment="1" pivotButton="0" quotePrefix="0" xfId="1">
      <alignment horizontal="center" vertical="center"/>
    </xf>
    <xf numFmtId="0" fontId="3" fillId="5" borderId="14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2" borderId="15" applyAlignment="1" pivotButton="0" quotePrefix="0" xfId="1">
      <alignment horizontal="center" vertical="center"/>
    </xf>
    <xf numFmtId="0" fontId="3" fillId="2" borderId="16" applyAlignment="1" pivotButton="0" quotePrefix="0" xfId="1">
      <alignment horizontal="center" vertical="center"/>
    </xf>
    <xf numFmtId="164" fontId="0" fillId="5" borderId="4" applyAlignment="1" pivotButton="0" quotePrefix="0" xfId="0">
      <alignment vertical="center"/>
    </xf>
    <xf numFmtId="164" fontId="0" fillId="5" borderId="5" applyAlignment="1" pivotButton="0" quotePrefix="0" xfId="0">
      <alignment vertical="center"/>
    </xf>
    <xf numFmtId="164" fontId="0" fillId="6" borderId="3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164" fontId="0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164" fontId="0" fillId="6" borderId="4" applyAlignment="1" pivotButton="0" quotePrefix="0" xfId="0">
      <alignment vertical="center"/>
    </xf>
    <xf numFmtId="165" fontId="0" fillId="6" borderId="4" applyAlignment="1" pivotButton="0" quotePrefix="0" xfId="0">
      <alignment vertical="center"/>
    </xf>
    <xf numFmtId="164" fontId="2" fillId="6" borderId="5" applyAlignment="1" pivotButton="0" quotePrefix="0" xfId="0">
      <alignment vertical="center"/>
    </xf>
    <xf numFmtId="164" fontId="0" fillId="6" borderId="2" applyAlignment="1" pivotButton="0" quotePrefix="0" xfId="0">
      <alignment horizontal="center" vertical="center"/>
    </xf>
    <xf numFmtId="164" fontId="0" fillId="6" borderId="6" applyAlignment="1" pivotButton="0" quotePrefix="0" xfId="0">
      <alignment horizontal="center" vertical="center"/>
    </xf>
    <xf numFmtId="0" fontId="3" fillId="4" borderId="16" applyAlignment="1" pivotButton="0" quotePrefix="0" xfId="1">
      <alignment horizontal="center" vertical="center"/>
    </xf>
    <xf numFmtId="0" fontId="3" fillId="2" borderId="17" applyAlignment="1" pivotButton="0" quotePrefix="0" xfId="1">
      <alignment horizontal="center" vertical="center"/>
    </xf>
    <xf numFmtId="0" fontId="3" fillId="0" borderId="17" applyAlignment="1" pivotButton="0" quotePrefix="0" xfId="1">
      <alignment vertical="center"/>
    </xf>
    <xf numFmtId="0" fontId="3" fillId="0" borderId="16" applyAlignment="1" pivotButton="0" quotePrefix="0" xfId="1">
      <alignment horizontal="center" vertical="center"/>
    </xf>
    <xf numFmtId="0" fontId="3" fillId="4" borderId="17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3" fontId="0" fillId="7" borderId="0" applyAlignment="1" pivotButton="0" quotePrefix="0" xfId="0">
      <alignment vertical="center"/>
    </xf>
    <xf numFmtId="165" fontId="0" fillId="7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0" fontId="5" fillId="2" borderId="0" applyAlignment="1" pivotButton="0" quotePrefix="0" xfId="1">
      <alignment horizontal="center" vertical="center"/>
    </xf>
    <xf numFmtId="0" fontId="4" fillId="2" borderId="0" applyAlignment="1" pivotButton="0" quotePrefix="0" xfId="1">
      <alignment horizontal="center" vertical="center"/>
    </xf>
    <xf numFmtId="164" fontId="0" fillId="8" borderId="8" applyAlignment="1" pivotButton="0" quotePrefix="0" xfId="0">
      <alignment vertical="center"/>
    </xf>
    <xf numFmtId="164" fontId="0" fillId="8" borderId="7" applyAlignment="1" pivotButton="0" quotePrefix="0" xfId="0">
      <alignment vertical="center"/>
    </xf>
    <xf numFmtId="164" fontId="0" fillId="8" borderId="7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164" fontId="0" fillId="9" borderId="6" applyAlignment="1" pivotButton="0" quotePrefix="0" xfId="0">
      <alignment horizontal="center" vertical="center"/>
    </xf>
    <xf numFmtId="0" fontId="0" fillId="0" borderId="0" pivotButton="0" quotePrefix="0" xfId="0"/>
    <xf numFmtId="164" fontId="0" fillId="5" borderId="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9" pivotButton="0" quotePrefix="0" xfId="0"/>
    <xf numFmtId="164" fontId="0" fillId="5" borderId="9" applyAlignment="1" pivotButton="0" quotePrefix="0" xfId="0">
      <alignment horizontal="center" vertical="center"/>
    </xf>
    <xf numFmtId="164" fontId="0" fillId="5" borderId="4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164" fontId="0" fillId="5" borderId="3" applyAlignment="1" pivotButton="0" quotePrefix="0" xfId="0">
      <alignment horizontal="center" vertical="center"/>
    </xf>
    <xf numFmtId="164" fontId="0" fillId="5" borderId="4" applyAlignment="1" pivotButton="0" quotePrefix="0" xfId="0">
      <alignment vertical="center"/>
    </xf>
    <xf numFmtId="164" fontId="0" fillId="5" borderId="5" applyAlignment="1" pivotButton="0" quotePrefix="0" xfId="0">
      <alignment vertical="center"/>
    </xf>
    <xf numFmtId="164" fontId="0" fillId="6" borderId="3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164" fontId="0" fillId="6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164" fontId="0" fillId="6" borderId="6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6" borderId="2" applyAlignment="1" pivotButton="0" quotePrefix="0" xfId="0">
      <alignment horizontal="center" vertical="center"/>
    </xf>
    <xf numFmtId="164" fontId="0" fillId="6" borderId="4" applyAlignment="1" pivotButton="0" quotePrefix="0" xfId="0">
      <alignment vertical="center"/>
    </xf>
    <xf numFmtId="164" fontId="2" fillId="6" borderId="5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5" fontId="0" fillId="6" borderId="4" applyAlignment="1" pivotButton="0" quotePrefix="0" xfId="0">
      <alignment vertical="center"/>
    </xf>
    <xf numFmtId="165" fontId="0" fillId="7" borderId="0" applyAlignment="1" pivotButton="0" quotePrefix="0" xfId="0">
      <alignment vertical="center"/>
    </xf>
    <xf numFmtId="164" fontId="0" fillId="9" borderId="6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164" fontId="0" fillId="8" borderId="7" applyAlignment="1" pivotButton="0" quotePrefix="0" xfId="0">
      <alignment horizontal="center" vertical="center"/>
    </xf>
    <xf numFmtId="164" fontId="0" fillId="8" borderId="7" applyAlignment="1" pivotButton="0" quotePrefix="0" xfId="0">
      <alignment vertical="center"/>
    </xf>
    <xf numFmtId="164" fontId="0" fillId="8" borderId="8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:F1048576"/>
    </sheetView>
  </sheetViews>
  <sheetFormatPr baseColWidth="8" defaultColWidth="8.75" defaultRowHeight="16.5"/>
  <cols>
    <col width="9" customWidth="1" style="53" min="1" max="2"/>
    <col width="11.375" bestFit="1" customWidth="1" style="53" min="3" max="3"/>
    <col width="18.625" bestFit="1" customWidth="1" style="53" min="4" max="4"/>
    <col width="9" customWidth="1" style="53" min="5" max="6"/>
    <col width="8.75" customWidth="1" style="9" min="7" max="7"/>
    <col width="8.75" customWidth="1" style="9" min="8" max="16384"/>
  </cols>
  <sheetData>
    <row r="1" ht="13.5" customHeight="1" s="53">
      <c r="A1" s="16" t="inlineStr">
        <is>
          <t>구분</t>
        </is>
      </c>
      <c r="B1" s="16" t="inlineStr">
        <is>
          <t>층</t>
        </is>
      </c>
      <c r="C1" s="16" t="inlineStr">
        <is>
          <t>부서명(본부)</t>
        </is>
      </c>
      <c r="D1" s="16" t="inlineStr">
        <is>
          <t>부서명(실이하)</t>
        </is>
      </c>
      <c r="E1" s="16" t="inlineStr">
        <is>
          <t>성명</t>
        </is>
      </c>
      <c r="F1" s="16" t="inlineStr">
        <is>
          <t>직위</t>
        </is>
      </c>
    </row>
    <row r="2" ht="13.5" customHeight="1" s="53">
      <c r="A2" s="22" t="n">
        <v>1</v>
      </c>
      <c r="B2" s="22" t="inlineStr">
        <is>
          <t>13층</t>
        </is>
      </c>
      <c r="C2" s="22" t="inlineStr">
        <is>
          <t>감사역</t>
        </is>
      </c>
      <c r="D2" s="22" t="inlineStr">
        <is>
          <t>감사역</t>
        </is>
      </c>
      <c r="E2" s="22" t="inlineStr">
        <is>
          <t>김태우</t>
        </is>
      </c>
      <c r="F2" s="22" t="inlineStr">
        <is>
          <t>상무</t>
        </is>
      </c>
    </row>
    <row r="3" ht="13.5" customHeight="1" s="53">
      <c r="A3" s="22" t="n">
        <v>2</v>
      </c>
      <c r="B3" s="18" t="inlineStr">
        <is>
          <t>13층</t>
        </is>
      </c>
      <c r="C3" s="18" t="inlineStr">
        <is>
          <t>R&amp;D본부</t>
        </is>
      </c>
      <c r="D3" s="18" t="inlineStr">
        <is>
          <t>R&amp;D본부</t>
        </is>
      </c>
      <c r="E3" s="18" t="inlineStr">
        <is>
          <t>김갑득</t>
        </is>
      </c>
      <c r="F3" s="18" t="inlineStr">
        <is>
          <t>사장</t>
        </is>
      </c>
    </row>
    <row r="4" ht="13.5" customHeight="1" s="53">
      <c r="A4" s="22" t="n">
        <v>3</v>
      </c>
      <c r="B4" s="17" t="inlineStr">
        <is>
          <t>13층</t>
        </is>
      </c>
      <c r="C4" s="17" t="n"/>
      <c r="D4" s="17" t="inlineStr">
        <is>
          <t>건축구조환경연구그룹</t>
        </is>
      </c>
      <c r="E4" s="17" t="inlineStr">
        <is>
          <t>하연수</t>
        </is>
      </c>
      <c r="F4" s="17" t="inlineStr">
        <is>
          <t>연구원</t>
        </is>
      </c>
    </row>
    <row r="5" ht="13.5" customHeight="1" s="53">
      <c r="A5" s="22" t="n">
        <v>4</v>
      </c>
      <c r="B5" s="17" t="inlineStr">
        <is>
          <t>13층</t>
        </is>
      </c>
      <c r="C5" s="17" t="n"/>
      <c r="D5" s="17" t="inlineStr">
        <is>
          <t>경영기획실</t>
        </is>
      </c>
      <c r="E5" s="17" t="inlineStr">
        <is>
          <t>김명진</t>
        </is>
      </c>
      <c r="F5" s="17" t="inlineStr">
        <is>
          <t>상무</t>
        </is>
      </c>
    </row>
    <row r="6" ht="13.5" customHeight="1" s="53">
      <c r="A6" s="22" t="n">
        <v>5</v>
      </c>
      <c r="B6" s="17" t="inlineStr">
        <is>
          <t>13층</t>
        </is>
      </c>
      <c r="C6" s="17" t="n"/>
      <c r="D6" s="17" t="inlineStr">
        <is>
          <t>경영기획실</t>
        </is>
      </c>
      <c r="E6" s="17" t="inlineStr">
        <is>
          <t>조승제</t>
        </is>
      </c>
      <c r="F6" s="17" t="inlineStr">
        <is>
          <t>부장</t>
        </is>
      </c>
    </row>
    <row r="7" ht="13.5" customHeight="1" s="53">
      <c r="A7" s="22" t="n">
        <v>6</v>
      </c>
      <c r="B7" s="17" t="inlineStr">
        <is>
          <t>13층</t>
        </is>
      </c>
      <c r="C7" s="17" t="n"/>
      <c r="D7" s="17" t="inlineStr">
        <is>
          <t>경영기획실</t>
        </is>
      </c>
      <c r="E7" s="17" t="inlineStr">
        <is>
          <t>이재영</t>
        </is>
      </c>
      <c r="F7" s="17" t="inlineStr">
        <is>
          <t>과장</t>
        </is>
      </c>
    </row>
    <row r="8" ht="13.5" customHeight="1" s="53">
      <c r="A8" s="22" t="n">
        <v>7</v>
      </c>
      <c r="B8" s="17" t="inlineStr">
        <is>
          <t>13층</t>
        </is>
      </c>
      <c r="C8" s="17" t="n"/>
      <c r="D8" s="17" t="inlineStr">
        <is>
          <t>경영기획실</t>
        </is>
      </c>
      <c r="E8" s="17" t="inlineStr">
        <is>
          <t>강지혜</t>
        </is>
      </c>
      <c r="F8" s="17" t="inlineStr">
        <is>
          <t>대리</t>
        </is>
      </c>
    </row>
    <row r="9" ht="13.5" customHeight="1" s="53">
      <c r="A9" s="22" t="n">
        <v>8</v>
      </c>
      <c r="B9" s="17" t="inlineStr">
        <is>
          <t>13층</t>
        </is>
      </c>
      <c r="C9" s="17" t="n"/>
      <c r="D9" s="17" t="inlineStr">
        <is>
          <t>경영기획실</t>
        </is>
      </c>
      <c r="E9" s="17" t="inlineStr">
        <is>
          <t>이경태</t>
        </is>
      </c>
      <c r="F9" s="17" t="inlineStr">
        <is>
          <t>차장</t>
        </is>
      </c>
    </row>
    <row r="10" ht="13.5" customHeight="1" s="53">
      <c r="A10" s="22" t="n">
        <v>9</v>
      </c>
      <c r="B10" s="17" t="inlineStr">
        <is>
          <t>13층</t>
        </is>
      </c>
      <c r="C10" s="17" t="n"/>
      <c r="D10" s="17" t="inlineStr">
        <is>
          <t>경영기획실</t>
        </is>
      </c>
      <c r="E10" s="17" t="inlineStr">
        <is>
          <t>최경천</t>
        </is>
      </c>
      <c r="F10" s="17" t="inlineStr">
        <is>
          <t>차장</t>
        </is>
      </c>
    </row>
    <row r="11" ht="13.5" customHeight="1" s="53">
      <c r="A11" s="22" t="n">
        <v>10</v>
      </c>
      <c r="B11" s="17" t="inlineStr">
        <is>
          <t>13층</t>
        </is>
      </c>
      <c r="C11" s="17" t="n"/>
      <c r="D11" s="17" t="inlineStr">
        <is>
          <t>경영기획실</t>
        </is>
      </c>
      <c r="E11" s="17" t="inlineStr">
        <is>
          <t>이재선</t>
        </is>
      </c>
      <c r="F11" s="17" t="inlineStr">
        <is>
          <t>차장</t>
        </is>
      </c>
    </row>
    <row r="12" ht="13.5" customFormat="1" customHeight="1" s="11">
      <c r="A12" s="22" t="n">
        <v>11</v>
      </c>
      <c r="B12" s="17" t="inlineStr">
        <is>
          <t>13층</t>
        </is>
      </c>
      <c r="C12" s="17" t="n"/>
      <c r="D12" s="17" t="inlineStr">
        <is>
          <t>경영기획실</t>
        </is>
      </c>
      <c r="E12" s="17" t="inlineStr">
        <is>
          <t>이황</t>
        </is>
      </c>
      <c r="F12" s="17" t="inlineStr">
        <is>
          <t>과장</t>
        </is>
      </c>
    </row>
    <row r="13" ht="14.25" customHeight="1" s="53" thickBot="1">
      <c r="A13" s="37" t="n">
        <v>12</v>
      </c>
      <c r="B13" s="37" t="inlineStr">
        <is>
          <t>13층</t>
        </is>
      </c>
      <c r="C13" s="38" t="n"/>
      <c r="D13" s="37" t="inlineStr">
        <is>
          <t>경영기획실</t>
        </is>
      </c>
      <c r="E13" s="37" t="inlineStr">
        <is>
          <t>강소영</t>
        </is>
      </c>
      <c r="F13" s="37" t="inlineStr">
        <is>
          <t>주임</t>
        </is>
      </c>
    </row>
    <row r="14" ht="14.25" customHeight="1" s="53" thickTop="1">
      <c r="A14" s="22" t="n">
        <v>1</v>
      </c>
      <c r="B14" s="36" t="inlineStr">
        <is>
          <t>6층</t>
        </is>
      </c>
      <c r="C14" s="36" t="inlineStr">
        <is>
          <t>설계본부</t>
        </is>
      </c>
      <c r="D14" s="36" t="inlineStr">
        <is>
          <t>설계본부</t>
        </is>
      </c>
      <c r="E14" s="36" t="inlineStr">
        <is>
          <t>오진택</t>
        </is>
      </c>
      <c r="F14" s="36" t="inlineStr">
        <is>
          <t>전무</t>
        </is>
      </c>
    </row>
    <row r="15" ht="13.5" customHeight="1" s="53">
      <c r="A15" s="17" t="n">
        <v>2</v>
      </c>
      <c r="B15" s="17" t="inlineStr">
        <is>
          <t>6층</t>
        </is>
      </c>
      <c r="C15" s="17" t="inlineStr">
        <is>
          <t>설계본부</t>
        </is>
      </c>
      <c r="D15" s="17" t="inlineStr">
        <is>
          <t>설계1실</t>
        </is>
      </c>
      <c r="E15" s="17" t="inlineStr">
        <is>
          <t>최우제</t>
        </is>
      </c>
      <c r="F15" s="17" t="inlineStr">
        <is>
          <t>상무</t>
        </is>
      </c>
    </row>
    <row r="16" ht="13.5" customFormat="1" customHeight="1" s="11">
      <c r="A16" s="22" t="n">
        <v>3</v>
      </c>
      <c r="B16" s="17" t="inlineStr">
        <is>
          <t>6층</t>
        </is>
      </c>
      <c r="C16" s="17" t="inlineStr">
        <is>
          <t>설계본부</t>
        </is>
      </c>
      <c r="D16" s="17" t="inlineStr">
        <is>
          <t>설계2실</t>
        </is>
      </c>
      <c r="E16" s="17" t="inlineStr">
        <is>
          <t>김채영</t>
        </is>
      </c>
      <c r="F16" s="17" t="inlineStr">
        <is>
          <t>이사</t>
        </is>
      </c>
    </row>
    <row r="17" ht="13.5" customHeight="1" s="53">
      <c r="A17" s="17" t="n">
        <v>4</v>
      </c>
      <c r="B17" s="17" t="inlineStr">
        <is>
          <t>6층</t>
        </is>
      </c>
      <c r="C17" s="17" t="inlineStr">
        <is>
          <t>설계본부</t>
        </is>
      </c>
      <c r="D17" s="17" t="inlineStr">
        <is>
          <t>설계1실</t>
        </is>
      </c>
      <c r="E17" s="17" t="inlineStr">
        <is>
          <t>김태은</t>
        </is>
      </c>
      <c r="F17" s="17" t="inlineStr">
        <is>
          <t>과장</t>
        </is>
      </c>
    </row>
    <row r="18" ht="13.5" customHeight="1" s="53">
      <c r="A18" s="22" t="n">
        <v>5</v>
      </c>
      <c r="B18" s="17" t="inlineStr">
        <is>
          <t>6층</t>
        </is>
      </c>
      <c r="C18" s="17" t="inlineStr">
        <is>
          <t>설계본부</t>
        </is>
      </c>
      <c r="D18" s="17" t="inlineStr">
        <is>
          <t>설계1실</t>
        </is>
      </c>
      <c r="E18" s="17" t="inlineStr">
        <is>
          <t>기재관</t>
        </is>
      </c>
      <c r="F18" s="17" t="inlineStr">
        <is>
          <t>과장</t>
        </is>
      </c>
    </row>
    <row r="19" ht="13.5" customHeight="1" s="53">
      <c r="A19" s="17" t="n">
        <v>6</v>
      </c>
      <c r="B19" s="17" t="inlineStr">
        <is>
          <t>6층</t>
        </is>
      </c>
      <c r="C19" s="17" t="inlineStr">
        <is>
          <t>설계본부</t>
        </is>
      </c>
      <c r="D19" s="17" t="inlineStr">
        <is>
          <t>설계1실</t>
        </is>
      </c>
      <c r="E19" s="17" t="inlineStr">
        <is>
          <t>김민호</t>
        </is>
      </c>
      <c r="F19" s="17" t="inlineStr">
        <is>
          <t>대리</t>
        </is>
      </c>
    </row>
    <row r="20" ht="13.5" customHeight="1" s="53">
      <c r="A20" s="22" t="n">
        <v>7</v>
      </c>
      <c r="B20" s="17" t="inlineStr">
        <is>
          <t>6층</t>
        </is>
      </c>
      <c r="C20" s="17" t="inlineStr">
        <is>
          <t>설계본부</t>
        </is>
      </c>
      <c r="D20" s="17" t="inlineStr">
        <is>
          <t>설계1실</t>
        </is>
      </c>
      <c r="E20" s="17" t="inlineStr">
        <is>
          <t>이수영</t>
        </is>
      </c>
      <c r="F20" s="17" t="inlineStr">
        <is>
          <t>주임</t>
        </is>
      </c>
    </row>
    <row r="21" ht="13.5" customFormat="1" customHeight="1" s="11">
      <c r="A21" s="17" t="n">
        <v>8</v>
      </c>
      <c r="B21" s="17" t="inlineStr">
        <is>
          <t>6층</t>
        </is>
      </c>
      <c r="C21" s="17" t="inlineStr">
        <is>
          <t>설계본부</t>
        </is>
      </c>
      <c r="D21" s="17" t="inlineStr">
        <is>
          <t>설계1실</t>
        </is>
      </c>
      <c r="E21" s="17" t="inlineStr">
        <is>
          <t>최수용</t>
        </is>
      </c>
      <c r="F21" s="17" t="inlineStr">
        <is>
          <t>사원</t>
        </is>
      </c>
    </row>
    <row r="22" ht="13.5" customHeight="1" s="53">
      <c r="A22" s="22" t="n">
        <v>9</v>
      </c>
      <c r="B22" s="17" t="inlineStr">
        <is>
          <t>6층</t>
        </is>
      </c>
      <c r="C22" s="17" t="inlineStr">
        <is>
          <t>설계본부</t>
        </is>
      </c>
      <c r="D22" s="17" t="inlineStr">
        <is>
          <t>설계2실</t>
        </is>
      </c>
      <c r="E22" s="17" t="inlineStr">
        <is>
          <t>조지은</t>
        </is>
      </c>
      <c r="F22" s="17" t="inlineStr">
        <is>
          <t>이사</t>
        </is>
      </c>
    </row>
    <row r="23" ht="13.5" customFormat="1" customHeight="1" s="11">
      <c r="A23" s="17" t="n">
        <v>10</v>
      </c>
      <c r="B23" s="17" t="inlineStr">
        <is>
          <t>6층</t>
        </is>
      </c>
      <c r="C23" s="17" t="inlineStr">
        <is>
          <t>설계본부</t>
        </is>
      </c>
      <c r="D23" s="17" t="inlineStr">
        <is>
          <t>설계2실</t>
        </is>
      </c>
      <c r="E23" s="17" t="inlineStr">
        <is>
          <t>이예솔</t>
        </is>
      </c>
      <c r="F23" s="17" t="inlineStr">
        <is>
          <t>과장</t>
        </is>
      </c>
    </row>
    <row r="24" ht="13.5" customFormat="1" customHeight="1" s="11">
      <c r="A24" s="22" t="n">
        <v>11</v>
      </c>
      <c r="B24" s="17" t="inlineStr">
        <is>
          <t>6층</t>
        </is>
      </c>
      <c r="C24" s="17" t="inlineStr">
        <is>
          <t>설계본부</t>
        </is>
      </c>
      <c r="D24" s="17" t="inlineStr">
        <is>
          <t>설계2실</t>
        </is>
      </c>
      <c r="E24" s="17" t="inlineStr">
        <is>
          <t>류승호</t>
        </is>
      </c>
      <c r="F24" s="17" t="inlineStr">
        <is>
          <t>과장</t>
        </is>
      </c>
    </row>
    <row r="25" ht="13.5" customFormat="1" customHeight="1" s="11">
      <c r="A25" s="17" t="n">
        <v>12</v>
      </c>
      <c r="B25" s="17" t="inlineStr">
        <is>
          <t>6층</t>
        </is>
      </c>
      <c r="C25" s="17" t="inlineStr">
        <is>
          <t>설계본부</t>
        </is>
      </c>
      <c r="D25" s="17" t="inlineStr">
        <is>
          <t>설계2실</t>
        </is>
      </c>
      <c r="E25" s="17" t="inlineStr">
        <is>
          <t>최수지</t>
        </is>
      </c>
      <c r="F25" s="17" t="inlineStr">
        <is>
          <t>과장</t>
        </is>
      </c>
    </row>
    <row r="26" ht="13.5" customHeight="1" s="53">
      <c r="A26" s="22" t="n">
        <v>13</v>
      </c>
      <c r="B26" s="17" t="inlineStr">
        <is>
          <t>6층</t>
        </is>
      </c>
      <c r="C26" s="20" t="inlineStr">
        <is>
          <t>설계본부</t>
        </is>
      </c>
      <c r="D26" s="17" t="inlineStr">
        <is>
          <t>설계2실</t>
        </is>
      </c>
      <c r="E26" s="17" t="inlineStr">
        <is>
          <t>황진욱</t>
        </is>
      </c>
      <c r="F26" s="17" t="inlineStr">
        <is>
          <t>대리</t>
        </is>
      </c>
    </row>
    <row r="27" ht="14.25" customFormat="1" customHeight="1" s="11" thickBot="1">
      <c r="A27" s="37" t="n">
        <v>14</v>
      </c>
      <c r="B27" s="37" t="inlineStr">
        <is>
          <t>6층</t>
        </is>
      </c>
      <c r="C27" s="37" t="inlineStr">
        <is>
          <t>설계본부</t>
        </is>
      </c>
      <c r="D27" s="37" t="inlineStr">
        <is>
          <t>설계2실</t>
        </is>
      </c>
      <c r="E27" s="37" t="inlineStr">
        <is>
          <t>오한솔</t>
        </is>
      </c>
      <c r="F27" s="37" t="inlineStr">
        <is>
          <t>주임</t>
        </is>
      </c>
    </row>
    <row r="28" ht="14.25" customFormat="1" customHeight="1" s="11" thickTop="1">
      <c r="A28" s="22" t="n">
        <v>1</v>
      </c>
      <c r="B28" s="22" t="inlineStr">
        <is>
          <t>11층</t>
        </is>
      </c>
      <c r="C28" s="39" t="inlineStr">
        <is>
          <t>설계본부</t>
        </is>
      </c>
      <c r="D28" s="22" t="inlineStr">
        <is>
          <t>신사업개발실</t>
        </is>
      </c>
      <c r="E28" s="22" t="inlineStr">
        <is>
          <t>최진달미</t>
        </is>
      </c>
      <c r="F28" s="22" t="inlineStr">
        <is>
          <t>전무</t>
        </is>
      </c>
    </row>
    <row r="29" ht="13.5" customFormat="1" customHeight="1" s="11">
      <c r="A29" s="17" t="n">
        <v>2</v>
      </c>
      <c r="B29" s="17" t="inlineStr">
        <is>
          <t>11층</t>
        </is>
      </c>
      <c r="C29" s="20" t="inlineStr">
        <is>
          <t>설계본부</t>
        </is>
      </c>
      <c r="D29" s="17" t="inlineStr">
        <is>
          <t>신사업개발실</t>
        </is>
      </c>
      <c r="E29" s="17" t="inlineStr">
        <is>
          <t>박종철</t>
        </is>
      </c>
      <c r="F29" s="17" t="inlineStr">
        <is>
          <t>이사</t>
        </is>
      </c>
    </row>
    <row r="30" ht="13.5" customHeight="1" s="53">
      <c r="A30" s="22" t="n">
        <v>3</v>
      </c>
      <c r="B30" s="17" t="inlineStr">
        <is>
          <t>11층</t>
        </is>
      </c>
      <c r="C30" s="17" t="inlineStr">
        <is>
          <t>설계본부</t>
        </is>
      </c>
      <c r="D30" s="17" t="inlineStr">
        <is>
          <t>신사업개발실</t>
        </is>
      </c>
      <c r="E30" s="17" t="inlineStr">
        <is>
          <t>이정진</t>
        </is>
      </c>
      <c r="F30" s="17" t="inlineStr">
        <is>
          <t>부장</t>
        </is>
      </c>
    </row>
    <row r="31" ht="13.5" customHeight="1" s="53">
      <c r="A31" s="17" t="n">
        <v>4</v>
      </c>
      <c r="B31" s="22" t="inlineStr">
        <is>
          <t>11층</t>
        </is>
      </c>
      <c r="C31" s="20" t="inlineStr">
        <is>
          <t>설계본부</t>
        </is>
      </c>
      <c r="D31" s="17" t="inlineStr">
        <is>
          <t>신사업개발실</t>
        </is>
      </c>
      <c r="E31" s="22" t="inlineStr">
        <is>
          <t>김순성</t>
        </is>
      </c>
      <c r="F31" s="22" t="inlineStr">
        <is>
          <t>고문</t>
        </is>
      </c>
    </row>
    <row r="32" ht="13.5" customHeight="1" s="53">
      <c r="A32" s="22" t="n">
        <v>5</v>
      </c>
      <c r="B32" s="36" t="inlineStr">
        <is>
          <t>11층</t>
        </is>
      </c>
      <c r="C32" s="36" t="inlineStr">
        <is>
          <t>사업관리본부</t>
        </is>
      </c>
      <c r="D32" s="36" t="inlineStr">
        <is>
          <t>사업관리본부</t>
        </is>
      </c>
      <c r="E32" s="36" t="inlineStr">
        <is>
          <t>김동우</t>
        </is>
      </c>
      <c r="F32" s="36" t="inlineStr">
        <is>
          <t>전무</t>
        </is>
      </c>
    </row>
    <row r="33" ht="13.5" customHeight="1" s="53">
      <c r="A33" s="17" t="n">
        <v>6</v>
      </c>
      <c r="B33" s="17" t="inlineStr">
        <is>
          <t>11층</t>
        </is>
      </c>
      <c r="C33" s="17" t="inlineStr">
        <is>
          <t>사업관리본부</t>
        </is>
      </c>
      <c r="D33" s="17" t="inlineStr">
        <is>
          <t>사업관리실</t>
        </is>
      </c>
      <c r="E33" s="41" t="inlineStr">
        <is>
          <t>이성규</t>
        </is>
      </c>
      <c r="F33" s="17" t="inlineStr">
        <is>
          <t>차장</t>
        </is>
      </c>
    </row>
    <row r="34" ht="13.5" customHeight="1" s="53">
      <c r="A34" s="22" t="n">
        <v>7</v>
      </c>
      <c r="B34" s="17" t="inlineStr">
        <is>
          <t>11층</t>
        </is>
      </c>
      <c r="C34" s="17" t="inlineStr">
        <is>
          <t>사업관리본부</t>
        </is>
      </c>
      <c r="D34" s="17" t="inlineStr">
        <is>
          <t>사업관리실</t>
        </is>
      </c>
      <c r="E34" s="41" t="inlineStr">
        <is>
          <t>이강호</t>
        </is>
      </c>
      <c r="F34" s="17" t="inlineStr">
        <is>
          <t>차장</t>
        </is>
      </c>
    </row>
    <row r="35" ht="13.5" customHeight="1" s="53">
      <c r="A35" s="17" t="n">
        <v>8</v>
      </c>
      <c r="B35" s="17" t="inlineStr">
        <is>
          <t>11층</t>
        </is>
      </c>
      <c r="C35" s="17" t="inlineStr">
        <is>
          <t>사업관리본부</t>
        </is>
      </c>
      <c r="D35" s="17" t="inlineStr">
        <is>
          <t>사업관리실</t>
        </is>
      </c>
      <c r="E35" s="41" t="inlineStr">
        <is>
          <t>김동규</t>
        </is>
      </c>
      <c r="F35" s="17" t="inlineStr">
        <is>
          <t>부장</t>
        </is>
      </c>
    </row>
    <row r="36" ht="13.5" customHeight="1" s="53">
      <c r="A36" s="22" t="n">
        <v>9</v>
      </c>
      <c r="B36" s="17" t="inlineStr">
        <is>
          <t>11층</t>
        </is>
      </c>
      <c r="C36" s="17" t="inlineStr">
        <is>
          <t>사업관리본부</t>
        </is>
      </c>
      <c r="D36" s="17" t="inlineStr">
        <is>
          <t>사업관리실</t>
        </is>
      </c>
      <c r="E36" s="41" t="inlineStr">
        <is>
          <t>이완구</t>
        </is>
      </c>
      <c r="F36" s="17" t="inlineStr">
        <is>
          <t>부장</t>
        </is>
      </c>
    </row>
    <row r="37" ht="13.5" customHeight="1" s="53">
      <c r="A37" s="17" t="n">
        <v>10</v>
      </c>
      <c r="B37" s="17" t="inlineStr">
        <is>
          <t>11층</t>
        </is>
      </c>
      <c r="C37" s="17" t="inlineStr">
        <is>
          <t>사업관리본부</t>
        </is>
      </c>
      <c r="D37" s="17" t="inlineStr">
        <is>
          <t>영업관리실</t>
        </is>
      </c>
      <c r="E37" s="17" t="inlineStr">
        <is>
          <t>주현철</t>
        </is>
      </c>
      <c r="F37" s="17" t="inlineStr">
        <is>
          <t>상무</t>
        </is>
      </c>
    </row>
    <row r="38" ht="13.5" customHeight="1" s="53">
      <c r="A38" s="22" t="n">
        <v>11</v>
      </c>
      <c r="B38" s="17" t="inlineStr">
        <is>
          <t>11층</t>
        </is>
      </c>
      <c r="C38" s="17" t="inlineStr">
        <is>
          <t>사업관리본부</t>
        </is>
      </c>
      <c r="D38" s="17" t="inlineStr">
        <is>
          <t>영업관리실</t>
        </is>
      </c>
      <c r="E38" s="17" t="inlineStr">
        <is>
          <t>문광정</t>
        </is>
      </c>
      <c r="F38" s="17" t="inlineStr">
        <is>
          <t>부장</t>
        </is>
      </c>
    </row>
    <row r="39" ht="13.5" customHeight="1" s="53">
      <c r="A39" s="17" t="n">
        <v>12</v>
      </c>
      <c r="B39" s="17" t="inlineStr">
        <is>
          <t>13층</t>
        </is>
      </c>
      <c r="C39" s="17" t="inlineStr">
        <is>
          <t>사업관리본부</t>
        </is>
      </c>
      <c r="D39" s="17" t="inlineStr">
        <is>
          <t>영업관리실</t>
        </is>
      </c>
      <c r="E39" s="17" t="inlineStr">
        <is>
          <t>이현섭</t>
        </is>
      </c>
      <c r="F39" s="17" t="inlineStr">
        <is>
          <t>주임</t>
        </is>
      </c>
    </row>
    <row r="40" ht="13.5" customFormat="1" customHeight="1" s="11">
      <c r="A40" s="22" t="n">
        <v>13</v>
      </c>
      <c r="B40" s="17" t="inlineStr">
        <is>
          <t>11층</t>
        </is>
      </c>
      <c r="C40" s="17" t="inlineStr">
        <is>
          <t>사업관리본부</t>
        </is>
      </c>
      <c r="D40" s="17" t="inlineStr">
        <is>
          <t>영업관리실</t>
        </is>
      </c>
      <c r="E40" s="17" t="inlineStr">
        <is>
          <t>김진규</t>
        </is>
      </c>
      <c r="F40" s="17" t="inlineStr">
        <is>
          <t>대리</t>
        </is>
      </c>
      <c r="G40" s="10" t="n"/>
    </row>
    <row r="41" ht="14.25" customFormat="1" customHeight="1" s="11" thickBot="1">
      <c r="A41" s="37" t="n">
        <v>14</v>
      </c>
      <c r="B41" s="37" t="inlineStr">
        <is>
          <t>11층</t>
        </is>
      </c>
      <c r="C41" s="37" t="inlineStr">
        <is>
          <t>사업관리본부</t>
        </is>
      </c>
      <c r="D41" s="37" t="inlineStr">
        <is>
          <t>영업관리실</t>
        </is>
      </c>
      <c r="E41" s="37" t="inlineStr">
        <is>
          <t>연지현</t>
        </is>
      </c>
      <c r="F41" s="37" t="inlineStr">
        <is>
          <t>주임</t>
        </is>
      </c>
      <c r="G41" s="10" t="n"/>
    </row>
    <row r="42" ht="17.25" customHeight="1" s="53" thickTop="1"/>
  </sheetData>
  <autoFilter ref="A1:F41">
    <sortState ref="A2:F36">
      <sortCondition ref="D1:D36"/>
    </sortState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tabSelected="1" zoomScaleNormal="100" workbookViewId="0">
      <selection activeCell="G18" sqref="G18"/>
    </sheetView>
  </sheetViews>
  <sheetFormatPr baseColWidth="8" defaultRowHeight="16.5"/>
  <cols>
    <col width="21.375" bestFit="1" customWidth="1" style="59" min="1" max="1"/>
    <col width="10.75" customWidth="1" style="59" min="2" max="2"/>
    <col width="8.125" customWidth="1" style="60" min="3" max="3"/>
    <col width="12.875" customWidth="1" style="53" min="4" max="4"/>
    <col width="16.75" customWidth="1" style="61" min="5" max="5"/>
    <col width="15.25" customWidth="1" style="53" min="6" max="7"/>
    <col width="11.375" bestFit="1" customWidth="1" style="53" min="11" max="11"/>
    <col width="18.625" bestFit="1" customWidth="1" style="53" min="12" max="12"/>
  </cols>
  <sheetData>
    <row r="1" ht="17.25" customHeight="1" s="53" thickBot="1">
      <c r="E1" s="44" t="n"/>
      <c r="F1" s="62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3" t="inlineStr">
        <is>
          <t>전기료 총액(6층)</t>
        </is>
      </c>
      <c r="B2" s="55" t="n"/>
      <c r="C2" s="56" t="n"/>
      <c r="D2" s="64">
        <f>325083+8770-1</f>
        <v/>
      </c>
      <c r="E2" s="64" t="n">
        <v>32508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2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22" t="n">
        <v>3</v>
      </c>
      <c r="J4" s="17" t="inlineStr">
        <is>
          <t>13층</t>
        </is>
      </c>
      <c r="K4" s="17" t="n"/>
      <c r="L4" s="17" t="inlineStr">
        <is>
          <t>건축구조환경연구그룹</t>
        </is>
      </c>
      <c r="M4" s="17" t="inlineStr">
        <is>
          <t>하연수</t>
        </is>
      </c>
      <c r="N4" s="17" t="inlineStr">
        <is>
          <t>연구원</t>
        </is>
      </c>
    </row>
    <row r="5">
      <c r="A5" s="70" t="inlineStr">
        <is>
          <t>설계1실</t>
        </is>
      </c>
      <c r="B5" s="71" t="inlineStr">
        <is>
          <t>제조</t>
        </is>
      </c>
      <c r="C5" s="72">
        <f>COUNTIF(L:L,"설계1실")</f>
        <v/>
      </c>
      <c r="D5" s="73">
        <f>ROUND($D$2/$C$8*C5,0)</f>
        <v/>
      </c>
      <c r="E5" s="73">
        <f>ROUND($E$2/$C$8*C5,0)</f>
        <v/>
      </c>
      <c r="F5" s="74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김명진</t>
        </is>
      </c>
      <c r="N5" s="17" t="inlineStr">
        <is>
          <t>상무</t>
        </is>
      </c>
    </row>
    <row r="6">
      <c r="A6" s="70" t="inlineStr">
        <is>
          <t>설계2실</t>
        </is>
      </c>
      <c r="B6" s="71" t="inlineStr">
        <is>
          <t>제조</t>
        </is>
      </c>
      <c r="C6" s="72">
        <f>COUNTIF(L:L,"설계2실")</f>
        <v/>
      </c>
      <c r="D6" s="73">
        <f>ROUND($D$2/$C$8*C6,0)</f>
        <v/>
      </c>
      <c r="E6" s="73">
        <f>ROUND($E$2/$C$8*C6,0)</f>
        <v/>
      </c>
      <c r="F6" s="74">
        <f>D6+E6</f>
        <v/>
      </c>
      <c r="I6" s="22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조승제</t>
        </is>
      </c>
      <c r="N6" s="17" t="inlineStr">
        <is>
          <t>부장</t>
        </is>
      </c>
    </row>
    <row r="7" ht="17.25" customHeight="1" s="53" thickBot="1">
      <c r="A7" s="75" t="inlineStr">
        <is>
          <t>설계본부</t>
        </is>
      </c>
      <c r="B7" s="71" t="inlineStr">
        <is>
          <t>제조</t>
        </is>
      </c>
      <c r="C7" s="72">
        <f>COUNTIF(L:L,"설계본부")</f>
        <v/>
      </c>
      <c r="D7" s="73">
        <f>ROUND($D$2/$C$8*C7,0)-1</f>
        <v/>
      </c>
      <c r="E7" s="73">
        <f>ROUND($E$2/$C$8*C7,0)-1</f>
        <v/>
      </c>
      <c r="F7" s="74">
        <f>D7+E7</f>
        <v/>
      </c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이재영</t>
        </is>
      </c>
      <c r="N7" s="17" t="inlineStr">
        <is>
          <t>과장</t>
        </is>
      </c>
    </row>
    <row r="8" ht="17.25" customHeight="1" s="53" thickBot="1">
      <c r="A8" s="66" t="inlineStr">
        <is>
          <t>총합</t>
        </is>
      </c>
      <c r="B8" s="67" t="n"/>
      <c r="C8" s="68">
        <f>SUM(C5:C7)</f>
        <v/>
      </c>
      <c r="D8" s="76">
        <f>SUM(D5:D7)</f>
        <v/>
      </c>
      <c r="E8" s="76">
        <f>SUM(E5:E7)</f>
        <v/>
      </c>
      <c r="F8" s="77">
        <f>SUM(F5:F7)</f>
        <v/>
      </c>
      <c r="I8" s="22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강지혜</t>
        </is>
      </c>
      <c r="N8" s="17" t="inlineStr">
        <is>
          <t>대리</t>
        </is>
      </c>
    </row>
    <row r="9" ht="17.25" customHeight="1" s="53" thickBot="1">
      <c r="D9" s="78" t="n"/>
      <c r="F9" s="79" t="n"/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이경태</t>
        </is>
      </c>
      <c r="N9" s="17" t="inlineStr">
        <is>
          <t>차장</t>
        </is>
      </c>
    </row>
    <row r="10" ht="17.25" customHeight="1" s="53" thickBot="1">
      <c r="A10" s="63" t="inlineStr">
        <is>
          <t>전기료 총액(11층)</t>
        </is>
      </c>
      <c r="B10" s="55" t="n"/>
      <c r="C10" s="56" t="n"/>
      <c r="D10" s="64">
        <f>314998+8500-8</f>
        <v/>
      </c>
      <c r="E10" s="64" t="n">
        <v>31500</v>
      </c>
      <c r="F10" s="65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최경천</t>
        </is>
      </c>
      <c r="N10" s="17" t="inlineStr">
        <is>
          <t>차장</t>
        </is>
      </c>
    </row>
    <row r="11" ht="17.25" customHeight="1" s="53" thickBot="1">
      <c r="I11" s="22" t="n">
        <v>10</v>
      </c>
      <c r="J11" s="17" t="inlineStr">
        <is>
          <t>13층</t>
        </is>
      </c>
      <c r="K11" s="17" t="n"/>
      <c r="L11" s="17" t="inlineStr">
        <is>
          <t>경영기획실</t>
        </is>
      </c>
      <c r="M11" s="17" t="inlineStr">
        <is>
          <t>이재선</t>
        </is>
      </c>
      <c r="N11" s="17" t="inlineStr">
        <is>
          <t>차장</t>
        </is>
      </c>
    </row>
    <row r="12" ht="17.25" customHeight="1" s="53" thickBot="1">
      <c r="A12" s="66" t="inlineStr">
        <is>
          <t>부서</t>
        </is>
      </c>
      <c r="B12" s="67" t="inlineStr">
        <is>
          <t>계정</t>
        </is>
      </c>
      <c r="C12" s="68" t="inlineStr">
        <is>
          <t>인원</t>
        </is>
      </c>
      <c r="D12" s="28" t="inlineStr">
        <is>
          <t>공급가</t>
        </is>
      </c>
      <c r="E12" s="69" t="inlineStr">
        <is>
          <t>부가세</t>
        </is>
      </c>
      <c r="F12" s="30" t="inlineStr">
        <is>
          <t>합계</t>
        </is>
      </c>
      <c r="I12" s="22" t="n">
        <v>11</v>
      </c>
      <c r="J12" s="17" t="inlineStr">
        <is>
          <t>13층</t>
        </is>
      </c>
      <c r="K12" s="17" t="n"/>
      <c r="L12" s="17" t="inlineStr">
        <is>
          <t>경영기획실</t>
        </is>
      </c>
      <c r="M12" s="17" t="inlineStr">
        <is>
          <t>이황</t>
        </is>
      </c>
      <c r="N12" s="17" t="inlineStr">
        <is>
          <t>과장</t>
        </is>
      </c>
    </row>
    <row r="13" ht="17.25" customHeight="1" s="53" thickBot="1">
      <c r="A13" s="75" t="inlineStr">
        <is>
          <t>신사업개발실</t>
        </is>
      </c>
      <c r="B13" s="71" t="inlineStr">
        <is>
          <t>제조</t>
        </is>
      </c>
      <c r="C13" s="72">
        <f>COUNTIF(L:L,"신사업개발실")</f>
        <v/>
      </c>
      <c r="D13" s="73">
        <f>ROUND($D$10/$C$17*C13,0)</f>
        <v/>
      </c>
      <c r="E13" s="73">
        <f>ROUND($E$10/$C$17*C13,0)</f>
        <v/>
      </c>
      <c r="F13" s="74">
        <f>D13+E13</f>
        <v/>
      </c>
      <c r="I13" s="37" t="n">
        <v>12</v>
      </c>
      <c r="J13" s="37" t="inlineStr">
        <is>
          <t>13층</t>
        </is>
      </c>
      <c r="K13" s="38" t="n"/>
      <c r="L13" s="37" t="inlineStr">
        <is>
          <t>경영기획실</t>
        </is>
      </c>
      <c r="M13" s="37" t="inlineStr">
        <is>
          <t>강소영</t>
        </is>
      </c>
      <c r="N13" s="37" t="inlineStr">
        <is>
          <t>주임</t>
        </is>
      </c>
    </row>
    <row r="14" ht="17.25" customHeight="1" s="53" thickTop="1">
      <c r="A14" s="75" t="inlineStr">
        <is>
          <t>영업관리실</t>
        </is>
      </c>
      <c r="B14" s="80" t="inlineStr">
        <is>
          <t>판관</t>
        </is>
      </c>
      <c r="C14" s="72">
        <f>COUNTIF(L:L,"영업관리실")</f>
        <v/>
      </c>
      <c r="D14" s="73">
        <f>ROUND($D$10/$C$17*C14,0)</f>
        <v/>
      </c>
      <c r="E14" s="73">
        <f>ROUND($E$10/$C$17*C14,0)</f>
        <v/>
      </c>
      <c r="F14" s="74">
        <f>D14+E14</f>
        <v/>
      </c>
      <c r="I14" s="22" t="n">
        <v>1</v>
      </c>
      <c r="J14" s="36" t="inlineStr">
        <is>
          <t>6층</t>
        </is>
      </c>
      <c r="K14" s="36" t="inlineStr">
        <is>
          <t>설계본부</t>
        </is>
      </c>
      <c r="L14" s="36" t="inlineStr">
        <is>
          <t>설계본부</t>
        </is>
      </c>
      <c r="M14" s="36" t="inlineStr">
        <is>
          <t>오진택</t>
        </is>
      </c>
      <c r="N14" s="36" t="inlineStr">
        <is>
          <t>전무</t>
        </is>
      </c>
    </row>
    <row r="15">
      <c r="A15" s="75" t="inlineStr">
        <is>
          <t>사업관리실</t>
        </is>
      </c>
      <c r="B15" s="80" t="inlineStr">
        <is>
          <t>판관</t>
        </is>
      </c>
      <c r="C15" s="72">
        <f>COUNTIF(L:L,"사업관리실")</f>
        <v/>
      </c>
      <c r="D15" s="73">
        <f>ROUND($D$10/$C$17*C15,0)</f>
        <v/>
      </c>
      <c r="E15" s="73">
        <f>ROUND($E$10/$C$17*C15,0)</f>
        <v/>
      </c>
      <c r="F15" s="74">
        <f>D15+E15</f>
        <v/>
      </c>
      <c r="I15" s="17" t="n">
        <v>2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최우제</t>
        </is>
      </c>
      <c r="N15" s="17" t="inlineStr">
        <is>
          <t>상무</t>
        </is>
      </c>
    </row>
    <row r="16" ht="17.25" customHeight="1" s="53" thickBot="1">
      <c r="A16" s="75" t="inlineStr">
        <is>
          <t>사업관리본부</t>
        </is>
      </c>
      <c r="B16" s="80" t="inlineStr">
        <is>
          <t>판관</t>
        </is>
      </c>
      <c r="C16" s="72">
        <f>COUNTIF(L:L,"사업관리본부")</f>
        <v/>
      </c>
      <c r="D16" s="73">
        <f>ROUND($D$10/$C$17*C16,0)+1</f>
        <v/>
      </c>
      <c r="E16" s="73">
        <f>ROUND($E$10/$C$17*C16,0)-1</f>
        <v/>
      </c>
      <c r="F16" s="74">
        <f>D16+E16</f>
        <v/>
      </c>
      <c r="I16" s="22" t="n">
        <v>3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설계2실</t>
        </is>
      </c>
      <c r="M16" s="17" t="inlineStr">
        <is>
          <t>김채영</t>
        </is>
      </c>
      <c r="N16" s="17" t="inlineStr">
        <is>
          <t>이사</t>
        </is>
      </c>
    </row>
    <row r="17" ht="17.25" customHeight="1" s="53" thickBot="1">
      <c r="A17" s="66" t="inlineStr">
        <is>
          <t>총합</t>
        </is>
      </c>
      <c r="B17" s="67" t="n"/>
      <c r="C17" s="68">
        <f>SUM(C13:C16)</f>
        <v/>
      </c>
      <c r="D17" s="76">
        <f>SUM(D13:D16)</f>
        <v/>
      </c>
      <c r="E17" s="76">
        <f>SUM(E13:E16)</f>
        <v/>
      </c>
      <c r="F17" s="77">
        <f>SUM(F13:F16)</f>
        <v/>
      </c>
      <c r="I17" s="17" t="n">
        <v>4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김태은</t>
        </is>
      </c>
      <c r="N17" s="17" t="inlineStr">
        <is>
          <t>과장</t>
        </is>
      </c>
    </row>
    <row r="18" ht="17.25" customHeight="1" s="53" thickBot="1">
      <c r="I18" s="22" t="n">
        <v>5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기재관</t>
        </is>
      </c>
      <c r="N18" s="17" t="inlineStr">
        <is>
          <t>과장</t>
        </is>
      </c>
    </row>
    <row r="19" ht="17.25" customHeight="1" s="53" thickBot="1">
      <c r="A19" s="63" t="inlineStr">
        <is>
          <t>전기료 총액(13층)</t>
        </is>
      </c>
      <c r="B19" s="55" t="n"/>
      <c r="C19" s="56" t="n"/>
      <c r="D19" s="64">
        <f>342121+9230-3</f>
        <v/>
      </c>
      <c r="E19" s="64" t="n">
        <v>34212</v>
      </c>
      <c r="F19" s="65">
        <f>D19+E19</f>
        <v/>
      </c>
      <c r="I19" s="17" t="n">
        <v>6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김민호</t>
        </is>
      </c>
      <c r="N19" s="17" t="inlineStr">
        <is>
          <t>대리</t>
        </is>
      </c>
    </row>
    <row r="20" ht="17.25" customHeight="1" s="53" thickBot="1">
      <c r="I20" s="22" t="n">
        <v>7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설계1실</t>
        </is>
      </c>
      <c r="M20" s="17" t="inlineStr">
        <is>
          <t>이수영</t>
        </is>
      </c>
      <c r="N20" s="17" t="inlineStr">
        <is>
          <t>주임</t>
        </is>
      </c>
    </row>
    <row r="21" ht="17.25" customHeight="1" s="53" thickBot="1">
      <c r="A21" s="66" t="inlineStr">
        <is>
          <t>부서</t>
        </is>
      </c>
      <c r="B21" s="67" t="inlineStr">
        <is>
          <t>계정</t>
        </is>
      </c>
      <c r="C21" s="68" t="inlineStr">
        <is>
          <t>인원</t>
        </is>
      </c>
      <c r="D21" s="28" t="inlineStr">
        <is>
          <t>공급가</t>
        </is>
      </c>
      <c r="E21" s="69" t="inlineStr">
        <is>
          <t>부가세</t>
        </is>
      </c>
      <c r="F21" s="30" t="inlineStr">
        <is>
          <t>합계</t>
        </is>
      </c>
      <c r="I21" s="17" t="n">
        <v>8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설계1실</t>
        </is>
      </c>
      <c r="M21" s="17" t="inlineStr">
        <is>
          <t>최수용</t>
        </is>
      </c>
      <c r="N21" s="17" t="inlineStr">
        <is>
          <t>사원</t>
        </is>
      </c>
    </row>
    <row r="22" ht="17.25" customHeight="1" s="53">
      <c r="A22" s="70" t="inlineStr">
        <is>
          <t>경영기획실</t>
        </is>
      </c>
      <c r="B22" s="80" t="inlineStr">
        <is>
          <t>판관</t>
        </is>
      </c>
      <c r="C22" s="72">
        <f>COUNTIF(L:L,"경영기획실")</f>
        <v/>
      </c>
      <c r="D22" s="73">
        <f>ROUND($D$19/$C$26*C22,0)-1</f>
        <v/>
      </c>
      <c r="E22" s="73">
        <f>ROUND($E$19/$C$26*C22,0)+1</f>
        <v/>
      </c>
      <c r="F22" s="74">
        <f>D22+E22</f>
        <v/>
      </c>
      <c r="I22" s="22" t="n">
        <v>9</v>
      </c>
      <c r="J22" s="17" t="inlineStr">
        <is>
          <t>6층</t>
        </is>
      </c>
      <c r="K22" s="17" t="inlineStr">
        <is>
          <t>설계본부</t>
        </is>
      </c>
      <c r="L22" s="17" t="inlineStr">
        <is>
          <t>설계2실</t>
        </is>
      </c>
      <c r="M22" s="17" t="inlineStr">
        <is>
          <t>조지은</t>
        </is>
      </c>
      <c r="N22" s="17" t="inlineStr">
        <is>
          <t>이사</t>
        </is>
      </c>
    </row>
    <row r="23">
      <c r="A23" s="75" t="inlineStr">
        <is>
          <t>감사역</t>
        </is>
      </c>
      <c r="B23" s="80" t="inlineStr">
        <is>
          <t>판관</t>
        </is>
      </c>
      <c r="C23" s="72">
        <f>COUNTIF(L:L,"감사역")</f>
        <v/>
      </c>
      <c r="D23" s="73">
        <f>ROUND($D$19/$C$26*C23,0)</f>
        <v/>
      </c>
      <c r="E23" s="73">
        <f>ROUND($E$19/$C$26*C23,0)</f>
        <v/>
      </c>
      <c r="F23" s="74">
        <f>D23+E23</f>
        <v/>
      </c>
      <c r="I23" s="17" t="n">
        <v>10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이예솔</t>
        </is>
      </c>
      <c r="N23" s="17" t="inlineStr">
        <is>
          <t>과장</t>
        </is>
      </c>
    </row>
    <row r="24">
      <c r="A24" s="75" t="inlineStr">
        <is>
          <t>R&amp;D본부</t>
        </is>
      </c>
      <c r="B24" s="71" t="inlineStr">
        <is>
          <t>연구</t>
        </is>
      </c>
      <c r="C24" s="72">
        <f>COUNTIF(L:L,"R&amp;D본부")</f>
        <v/>
      </c>
      <c r="D24" s="73">
        <f>ROUND($D$19/$C$26*C24,0)</f>
        <v/>
      </c>
      <c r="E24" s="73">
        <f>ROUND($E$19/$C$26*C24,0)</f>
        <v/>
      </c>
      <c r="F24" s="74">
        <f>D24+E24</f>
        <v/>
      </c>
      <c r="I24" s="22" t="n">
        <v>11</v>
      </c>
      <c r="J24" s="17" t="inlineStr">
        <is>
          <t>6층</t>
        </is>
      </c>
      <c r="K24" s="17" t="inlineStr">
        <is>
          <t>설계본부</t>
        </is>
      </c>
      <c r="L24" s="17" t="inlineStr">
        <is>
          <t>설계2실</t>
        </is>
      </c>
      <c r="M24" s="17" t="inlineStr">
        <is>
          <t>류승호</t>
        </is>
      </c>
      <c r="N24" s="17" t="inlineStr">
        <is>
          <t>과장</t>
        </is>
      </c>
    </row>
    <row r="25" ht="17.25" customHeight="1" s="53" thickBot="1">
      <c r="A25" s="75" t="inlineStr">
        <is>
          <t>건축구조환경연구그룹</t>
        </is>
      </c>
      <c r="B25" s="71" t="inlineStr">
        <is>
          <t>연구</t>
        </is>
      </c>
      <c r="C25" s="72">
        <f>COUNTIF(L:L,"R&amp;D본부")</f>
        <v/>
      </c>
      <c r="D25" s="73">
        <f>ROUND($D$19/$C$26*C25,0)</f>
        <v/>
      </c>
      <c r="E25" s="73">
        <f>ROUND($E$19/$C$26*C25,0)</f>
        <v/>
      </c>
      <c r="F25" s="74">
        <f>D25+E25</f>
        <v/>
      </c>
      <c r="I25" s="17" t="n">
        <v>12</v>
      </c>
      <c r="J25" s="17" t="inlineStr">
        <is>
          <t>6층</t>
        </is>
      </c>
      <c r="K25" s="17" t="inlineStr">
        <is>
          <t>설계본부</t>
        </is>
      </c>
      <c r="L25" s="17" t="inlineStr">
        <is>
          <t>설계2실</t>
        </is>
      </c>
      <c r="M25" s="17" t="inlineStr">
        <is>
          <t>최수지</t>
        </is>
      </c>
      <c r="N25" s="17" t="inlineStr">
        <is>
          <t>과장</t>
        </is>
      </c>
    </row>
    <row r="26" ht="17.25" customHeight="1" s="53" thickBot="1">
      <c r="A26" s="66" t="inlineStr">
        <is>
          <t>총합</t>
        </is>
      </c>
      <c r="B26" s="67" t="n"/>
      <c r="C26" s="68">
        <f>SUM(C22:C25)</f>
        <v/>
      </c>
      <c r="D26" s="76">
        <f>SUM(D22:D25)</f>
        <v/>
      </c>
      <c r="E26" s="81">
        <f>SUM(E22:E25)</f>
        <v/>
      </c>
      <c r="F26" s="77">
        <f>SUM(F22:F25)</f>
        <v/>
      </c>
      <c r="I26" s="22" t="n">
        <v>13</v>
      </c>
      <c r="J26" s="17" t="inlineStr">
        <is>
          <t>6층</t>
        </is>
      </c>
      <c r="K26" s="20" t="inlineStr">
        <is>
          <t>설계본부</t>
        </is>
      </c>
      <c r="L26" s="17" t="inlineStr">
        <is>
          <t>설계2실</t>
        </is>
      </c>
      <c r="M26" s="17" t="inlineStr">
        <is>
          <t>황진욱</t>
        </is>
      </c>
      <c r="N26" s="17" t="inlineStr">
        <is>
          <t>대리</t>
        </is>
      </c>
    </row>
    <row r="27" ht="18" customHeight="1" s="53" thickBot="1">
      <c r="E27" s="0" t="n"/>
      <c r="I27" s="37" t="n">
        <v>14</v>
      </c>
      <c r="J27" s="37" t="inlineStr">
        <is>
          <t>6층</t>
        </is>
      </c>
      <c r="K27" s="37" t="inlineStr">
        <is>
          <t>설계본부</t>
        </is>
      </c>
      <c r="L27" s="37" t="inlineStr">
        <is>
          <t>설계2실</t>
        </is>
      </c>
      <c r="M27" s="37" t="inlineStr">
        <is>
          <t>오한솔</t>
        </is>
      </c>
      <c r="N27" s="37" t="inlineStr">
        <is>
          <t>주임</t>
        </is>
      </c>
    </row>
    <row r="28" ht="17.25" customHeight="1" s="53" thickTop="1">
      <c r="I28" s="22" t="n">
        <v>1</v>
      </c>
      <c r="J28" s="22" t="inlineStr">
        <is>
          <t>11층</t>
        </is>
      </c>
      <c r="K28" s="39" t="inlineStr">
        <is>
          <t>설계본부</t>
        </is>
      </c>
      <c r="L28" s="22" t="inlineStr">
        <is>
          <t>신사업개발실</t>
        </is>
      </c>
      <c r="M28" s="22" t="inlineStr">
        <is>
          <t>최진달미</t>
        </is>
      </c>
      <c r="N28" s="22" t="inlineStr">
        <is>
          <t>전무</t>
        </is>
      </c>
    </row>
    <row r="29">
      <c r="I29" s="17" t="n">
        <v>2</v>
      </c>
      <c r="J29" s="17" t="inlineStr">
        <is>
          <t>11층</t>
        </is>
      </c>
      <c r="K29" s="20" t="inlineStr">
        <is>
          <t>설계본부</t>
        </is>
      </c>
      <c r="L29" s="17" t="inlineStr">
        <is>
          <t>신사업개발실</t>
        </is>
      </c>
      <c r="M29" s="17" t="inlineStr">
        <is>
          <t>박종철</t>
        </is>
      </c>
      <c r="N29" s="17" t="inlineStr">
        <is>
          <t>이사</t>
        </is>
      </c>
    </row>
    <row r="30">
      <c r="A30" s="47" t="n"/>
      <c r="B30" s="47" t="n"/>
      <c r="C30" s="47" t="n"/>
      <c r="D30" s="47" t="n"/>
      <c r="E30" s="47" t="n"/>
      <c r="F30" s="47" t="n"/>
      <c r="I30" s="22" t="n">
        <v>3</v>
      </c>
      <c r="J30" s="17" t="inlineStr">
        <is>
          <t>11층</t>
        </is>
      </c>
      <c r="K30" s="17" t="inlineStr">
        <is>
          <t>설계본부</t>
        </is>
      </c>
      <c r="L30" s="17" t="inlineStr">
        <is>
          <t>신사업개발실</t>
        </is>
      </c>
      <c r="M30" s="17" t="inlineStr">
        <is>
          <t>이정진</t>
        </is>
      </c>
      <c r="N30" s="17" t="inlineStr">
        <is>
          <t>부장</t>
        </is>
      </c>
    </row>
    <row r="31">
      <c r="A31" s="12" t="n"/>
      <c r="B31" s="12" t="n"/>
      <c r="C31" s="12" t="n"/>
      <c r="D31" s="12" t="n"/>
      <c r="E31" s="12" t="n"/>
      <c r="F31" s="12" t="n"/>
      <c r="I31" s="17" t="n">
        <v>4</v>
      </c>
      <c r="J31" s="22" t="inlineStr">
        <is>
          <t>11층</t>
        </is>
      </c>
      <c r="K31" s="20" t="inlineStr">
        <is>
          <t>설계본부</t>
        </is>
      </c>
      <c r="L31" s="17" t="inlineStr">
        <is>
          <t>신사업개발실</t>
        </is>
      </c>
      <c r="M31" s="22" t="inlineStr">
        <is>
          <t>김순성</t>
        </is>
      </c>
      <c r="N31" s="22" t="inlineStr">
        <is>
          <t>고문</t>
        </is>
      </c>
    </row>
    <row r="32">
      <c r="A32" s="12" t="n"/>
      <c r="B32" s="12" t="n"/>
      <c r="C32" s="12" t="n"/>
      <c r="D32" s="12" t="n"/>
      <c r="E32" s="12" t="n"/>
      <c r="F32" s="12" t="n"/>
      <c r="I32" s="22" t="n">
        <v>5</v>
      </c>
      <c r="J32" s="36" t="inlineStr">
        <is>
          <t>11층</t>
        </is>
      </c>
      <c r="K32" s="36" t="inlineStr">
        <is>
          <t>사업관리본부</t>
        </is>
      </c>
      <c r="L32" s="36" t="inlineStr">
        <is>
          <t>사업관리본부</t>
        </is>
      </c>
      <c r="M32" s="36" t="inlineStr">
        <is>
          <t>김동우</t>
        </is>
      </c>
      <c r="N32" s="36" t="inlineStr">
        <is>
          <t>전무</t>
        </is>
      </c>
    </row>
    <row r="33">
      <c r="A33" s="12" t="n"/>
      <c r="B33" s="12" t="n"/>
      <c r="C33" s="12" t="n"/>
      <c r="D33" s="12" t="n"/>
      <c r="E33" s="12" t="n"/>
      <c r="F33" s="12" t="n"/>
      <c r="I33" s="17" t="n">
        <v>6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이성규</t>
        </is>
      </c>
      <c r="N33" s="17" t="inlineStr">
        <is>
          <t>차장</t>
        </is>
      </c>
    </row>
    <row r="34">
      <c r="A34" s="12" t="n"/>
      <c r="B34" s="12" t="n"/>
      <c r="C34" s="12" t="n"/>
      <c r="D34" s="12" t="n"/>
      <c r="E34" s="12" t="n"/>
      <c r="F34" s="12" t="n"/>
      <c r="I34" s="22" t="n">
        <v>7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사업관리실</t>
        </is>
      </c>
      <c r="M34" s="41" t="inlineStr">
        <is>
          <t>이강호</t>
        </is>
      </c>
      <c r="N34" s="17" t="inlineStr">
        <is>
          <t>차장</t>
        </is>
      </c>
    </row>
    <row r="35">
      <c r="A35" s="12" t="n"/>
      <c r="B35" s="12" t="n"/>
      <c r="C35" s="12" t="n"/>
      <c r="D35" s="12" t="n"/>
      <c r="E35" s="12" t="n"/>
      <c r="F35" s="12" t="n"/>
      <c r="I35" s="17" t="n">
        <v>8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사업관리실</t>
        </is>
      </c>
      <c r="M35" s="41" t="inlineStr">
        <is>
          <t>김동규</t>
        </is>
      </c>
      <c r="N35" s="17" t="inlineStr">
        <is>
          <t>부장</t>
        </is>
      </c>
    </row>
    <row r="36">
      <c r="A36" s="12" t="n"/>
      <c r="B36" s="12" t="n"/>
      <c r="C36" s="12" t="n"/>
      <c r="D36" s="12" t="n"/>
      <c r="E36" s="12" t="n"/>
      <c r="F36" s="12" t="n"/>
      <c r="I36" s="22" t="n">
        <v>9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사업관리실</t>
        </is>
      </c>
      <c r="M36" s="41" t="inlineStr">
        <is>
          <t>이완구</t>
        </is>
      </c>
      <c r="N36" s="17" t="inlineStr">
        <is>
          <t>부장</t>
        </is>
      </c>
    </row>
    <row r="37">
      <c r="A37" s="12" t="n"/>
      <c r="B37" s="12" t="n"/>
      <c r="C37" s="12" t="n"/>
      <c r="D37" s="12" t="n"/>
      <c r="E37" s="12" t="n"/>
      <c r="F37" s="12" t="n"/>
      <c r="I37" s="17" t="n">
        <v>10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주현철</t>
        </is>
      </c>
      <c r="N37" s="17" t="inlineStr">
        <is>
          <t>상무</t>
        </is>
      </c>
    </row>
    <row r="38">
      <c r="A38" s="12" t="n"/>
      <c r="B38" s="12" t="n"/>
      <c r="C38" s="12" t="n"/>
      <c r="D38" s="12" t="n"/>
      <c r="E38" s="12" t="n"/>
      <c r="F38" s="12" t="n"/>
      <c r="I38" s="22" t="n">
        <v>11</v>
      </c>
      <c r="J38" s="17" t="inlineStr">
        <is>
          <t>11층</t>
        </is>
      </c>
      <c r="K38" s="17" t="inlineStr">
        <is>
          <t>사업관리본부</t>
        </is>
      </c>
      <c r="L38" s="17" t="inlineStr">
        <is>
          <t>영업관리실</t>
        </is>
      </c>
      <c r="M38" s="17" t="inlineStr">
        <is>
          <t>문광정</t>
        </is>
      </c>
      <c r="N38" s="17" t="inlineStr">
        <is>
          <t>부장</t>
        </is>
      </c>
    </row>
    <row r="39">
      <c r="A39" s="12" t="n"/>
      <c r="B39" s="12" t="n"/>
      <c r="C39" s="12" t="n"/>
      <c r="D39" s="12" t="n"/>
      <c r="E39" s="12" t="n"/>
      <c r="F39" s="12" t="n"/>
      <c r="I39" s="17" t="n">
        <v>12</v>
      </c>
      <c r="J39" s="17" t="inlineStr">
        <is>
          <t>13층</t>
        </is>
      </c>
      <c r="K39" s="17" t="inlineStr">
        <is>
          <t>사업관리본부</t>
        </is>
      </c>
      <c r="L39" s="17" t="inlineStr">
        <is>
          <t>영업관리실</t>
        </is>
      </c>
      <c r="M39" s="17" t="inlineStr">
        <is>
          <t>이현섭</t>
        </is>
      </c>
      <c r="N39" s="17" t="inlineStr">
        <is>
          <t>주임</t>
        </is>
      </c>
    </row>
    <row r="40" ht="17.25" customHeight="1" s="53">
      <c r="A40" s="12" t="n"/>
      <c r="B40" s="12" t="n"/>
      <c r="C40" s="11" t="n"/>
      <c r="D40" s="12" t="n"/>
      <c r="E40" s="12" t="n"/>
      <c r="F40" s="12" t="n"/>
      <c r="I40" s="22" t="n">
        <v>13</v>
      </c>
      <c r="J40" s="17" t="inlineStr">
        <is>
          <t>11층</t>
        </is>
      </c>
      <c r="K40" s="17" t="inlineStr">
        <is>
          <t>사업관리본부</t>
        </is>
      </c>
      <c r="L40" s="17" t="inlineStr">
        <is>
          <t>영업관리실</t>
        </is>
      </c>
      <c r="M40" s="17" t="inlineStr">
        <is>
          <t>김진규</t>
        </is>
      </c>
      <c r="N40" s="17" t="inlineStr">
        <is>
          <t>대리</t>
        </is>
      </c>
    </row>
    <row r="41" ht="17.25" customHeight="1" s="53" thickBot="1">
      <c r="A41" s="12" t="n"/>
      <c r="B41" s="12" t="n"/>
      <c r="C41" s="12" t="n"/>
      <c r="D41" s="12" t="n"/>
      <c r="E41" s="12" t="n"/>
      <c r="F41" s="12" t="n"/>
      <c r="I41" s="37" t="n">
        <v>14</v>
      </c>
      <c r="J41" s="37" t="inlineStr">
        <is>
          <t>11층</t>
        </is>
      </c>
      <c r="K41" s="37" t="inlineStr">
        <is>
          <t>사업관리본부</t>
        </is>
      </c>
      <c r="L41" s="37" t="inlineStr">
        <is>
          <t>영업관리실</t>
        </is>
      </c>
      <c r="M41" s="37" t="inlineStr">
        <is>
          <t>연지현</t>
        </is>
      </c>
      <c r="N41" s="37" t="inlineStr">
        <is>
          <t>주임</t>
        </is>
      </c>
    </row>
    <row r="42" ht="17.25" customHeight="1" s="53" thickTop="1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 s="53">
      <c r="A50" s="12" t="n"/>
      <c r="B50" s="12" t="n"/>
      <c r="C50" s="12" t="n"/>
      <c r="D50" s="12" t="n"/>
      <c r="E50" s="12" t="n"/>
      <c r="F50" s="12" t="n"/>
      <c r="H50" s="0" t="n"/>
      <c r="I50" s="0" t="n"/>
      <c r="J50" s="0" t="n"/>
      <c r="K50" s="0" t="n"/>
      <c r="L50" s="0" t="n"/>
      <c r="M50" s="0" t="n"/>
      <c r="N50" s="0" t="n"/>
    </row>
    <row r="51" s="53">
      <c r="A51" s="12" t="n"/>
      <c r="B51" s="12" t="n"/>
      <c r="C51" s="12" t="n"/>
      <c r="D51" s="12" t="n"/>
      <c r="E51" s="12" t="n"/>
      <c r="F51" s="12" t="n"/>
      <c r="H51" s="0" t="n"/>
      <c r="I51" s="0" t="n"/>
      <c r="J51" s="0" t="n"/>
      <c r="K51" s="0" t="n"/>
      <c r="L51" s="0" t="n"/>
      <c r="M51" s="0" t="n"/>
      <c r="N51" s="0" t="n"/>
    </row>
    <row r="52" s="53">
      <c r="A52" s="12" t="n"/>
      <c r="B52" s="12" t="n"/>
      <c r="C52" s="12" t="n"/>
      <c r="D52" s="12" t="n"/>
      <c r="E52" s="12" t="n"/>
      <c r="F52" s="12" t="n"/>
      <c r="H52" s="0" t="n"/>
      <c r="I52" s="0" t="n"/>
      <c r="J52" s="0" t="n"/>
      <c r="K52" s="0" t="n"/>
      <c r="L52" s="0" t="n"/>
      <c r="M52" s="0" t="n"/>
      <c r="N52" s="0" t="n"/>
    </row>
    <row r="53" s="53">
      <c r="A53" s="12" t="n"/>
      <c r="B53" s="12" t="n"/>
      <c r="C53" s="12" t="n"/>
      <c r="D53" s="12" t="n"/>
      <c r="E53" s="12" t="n"/>
      <c r="F53" s="12" t="n"/>
      <c r="H53" s="0" t="n"/>
      <c r="I53" s="0" t="n"/>
      <c r="J53" s="0" t="n"/>
      <c r="K53" s="0" t="n"/>
      <c r="L53" s="0" t="n"/>
      <c r="M53" s="0" t="n"/>
      <c r="N53" s="0" t="n"/>
    </row>
    <row r="54" s="53">
      <c r="A54" s="12" t="n"/>
      <c r="B54" s="12" t="n"/>
      <c r="C54" s="12" t="n"/>
      <c r="D54" s="12" t="n"/>
      <c r="E54" s="12" t="n"/>
      <c r="F54" s="12" t="n"/>
      <c r="H54" s="0" t="n"/>
      <c r="I54" s="0" t="n"/>
      <c r="J54" s="0" t="n"/>
      <c r="K54" s="0" t="n"/>
      <c r="L54" s="0" t="n"/>
      <c r="M54" s="0" t="n"/>
      <c r="N54" s="0" t="n"/>
    </row>
    <row r="55" s="53">
      <c r="A55" s="12" t="n"/>
      <c r="B55" s="12" t="n"/>
      <c r="C55" s="12" t="n"/>
      <c r="D55" s="12" t="n"/>
      <c r="E55" s="12" t="n"/>
      <c r="F55" s="12" t="n"/>
      <c r="H55" s="0" t="n"/>
      <c r="I55" s="0" t="n"/>
      <c r="J55" s="0" t="n"/>
      <c r="K55" s="0" t="n"/>
      <c r="L55" s="0" t="n"/>
      <c r="M55" s="0" t="n"/>
      <c r="N55" s="0" t="n"/>
    </row>
    <row r="56" s="53">
      <c r="A56" s="12" t="n"/>
      <c r="B56" s="12" t="n"/>
      <c r="C56" s="12" t="n"/>
      <c r="D56" s="12" t="n"/>
      <c r="E56" s="12" t="n"/>
      <c r="F56" s="12" t="n"/>
      <c r="H56" s="0" t="n"/>
      <c r="I56" s="0" t="n"/>
      <c r="J56" s="0" t="n"/>
      <c r="K56" s="0" t="n"/>
      <c r="L56" s="0" t="n"/>
      <c r="M56" s="0" t="n"/>
      <c r="N56" s="0" t="n"/>
    </row>
    <row r="57" s="53">
      <c r="A57" s="12" t="n"/>
      <c r="B57" s="12" t="n"/>
      <c r="C57" s="12" t="n"/>
      <c r="D57" s="12" t="n"/>
      <c r="E57" s="12" t="n"/>
      <c r="F57" s="12" t="n"/>
      <c r="H57" s="0" t="n"/>
      <c r="I57" s="0" t="n"/>
      <c r="J57" s="0" t="n"/>
      <c r="K57" s="0" t="n"/>
      <c r="L57" s="0" t="n"/>
      <c r="M57" s="0" t="n"/>
      <c r="N57" s="0" t="n"/>
    </row>
    <row r="58" s="53">
      <c r="A58" s="12" t="n"/>
      <c r="B58" s="12" t="n"/>
      <c r="C58" s="12" t="n"/>
      <c r="D58" s="12" t="n"/>
      <c r="E58" s="12" t="n"/>
      <c r="F58" s="12" t="n"/>
      <c r="H58" s="0" t="n"/>
      <c r="I58" s="0" t="n"/>
      <c r="J58" s="0" t="n"/>
      <c r="K58" s="0" t="n"/>
      <c r="L58" s="0" t="n"/>
      <c r="M58" s="0" t="n"/>
      <c r="N58" s="0" t="n"/>
    </row>
    <row r="59" s="53">
      <c r="A59" s="12" t="n"/>
      <c r="B59" s="12" t="n"/>
      <c r="C59" s="12" t="n"/>
      <c r="D59" s="12" t="n"/>
      <c r="E59" s="46" t="n"/>
      <c r="F59" s="12" t="n"/>
      <c r="H59" s="0" t="n"/>
      <c r="I59" s="0" t="n"/>
      <c r="J59" s="0" t="n"/>
      <c r="K59" s="0" t="n"/>
      <c r="L59" s="0" t="n"/>
      <c r="M59" s="0" t="n"/>
      <c r="N59" s="0" t="n"/>
    </row>
    <row r="60" s="53">
      <c r="A60" s="12" t="n"/>
      <c r="B60" s="12" t="n"/>
      <c r="C60" s="12" t="n"/>
      <c r="D60" s="12" t="n"/>
      <c r="E60" s="46" t="n"/>
      <c r="F60" s="12" t="n"/>
      <c r="H60" s="0" t="n"/>
      <c r="I60" s="0" t="n"/>
      <c r="J60" s="0" t="n"/>
      <c r="K60" s="0" t="n"/>
      <c r="L60" s="0" t="n"/>
      <c r="M60" s="0" t="n"/>
      <c r="N60" s="0" t="n"/>
    </row>
    <row r="61" s="53">
      <c r="A61" s="12" t="n"/>
      <c r="B61" s="12" t="n"/>
      <c r="C61" s="12" t="n"/>
      <c r="D61" s="12" t="n"/>
      <c r="E61" s="46" t="n"/>
      <c r="F61" s="12" t="n"/>
      <c r="H61" s="0" t="n"/>
      <c r="I61" s="0" t="n"/>
      <c r="J61" s="0" t="n"/>
      <c r="K61" s="0" t="n"/>
      <c r="L61" s="0" t="n"/>
      <c r="M61" s="0" t="n"/>
      <c r="N61" s="0" t="n"/>
    </row>
    <row r="62" s="53">
      <c r="A62" s="12" t="n"/>
      <c r="B62" s="12" t="n"/>
      <c r="C62" s="12" t="n"/>
      <c r="D62" s="12" t="n"/>
      <c r="E62" s="46" t="n"/>
      <c r="F62" s="12" t="n"/>
      <c r="H62" s="0" t="n"/>
      <c r="I62" s="0" t="n"/>
      <c r="J62" s="0" t="n"/>
      <c r="K62" s="0" t="n"/>
      <c r="L62" s="0" t="n"/>
      <c r="M62" s="0" t="n"/>
      <c r="N62" s="0" t="n"/>
    </row>
    <row r="63" s="53">
      <c r="A63" s="12" t="n"/>
      <c r="B63" s="12" t="n"/>
      <c r="C63" s="12" t="n"/>
      <c r="D63" s="12" t="n"/>
      <c r="E63" s="12" t="n"/>
      <c r="F63" s="12" t="n"/>
      <c r="H63" s="0" t="n"/>
      <c r="I63" s="0" t="n"/>
      <c r="J63" s="0" t="n"/>
      <c r="K63" s="0" t="n"/>
      <c r="L63" s="0" t="n"/>
      <c r="M63" s="0" t="n"/>
      <c r="N63" s="0" t="n"/>
    </row>
    <row r="64" s="53">
      <c r="A64" s="12" t="n"/>
      <c r="B64" s="12" t="n"/>
      <c r="C64" s="12" t="n"/>
      <c r="D64" s="12" t="n"/>
      <c r="E64" s="12" t="n"/>
      <c r="F64" s="12" t="n"/>
      <c r="H64" s="0" t="n"/>
      <c r="I64" s="0" t="n"/>
      <c r="J64" s="0" t="n"/>
      <c r="K64" s="0" t="n"/>
      <c r="L64" s="0" t="n"/>
      <c r="M64" s="0" t="n"/>
      <c r="N64" s="0" t="n"/>
    </row>
    <row r="65" s="53">
      <c r="A65" s="12" t="n"/>
      <c r="B65" s="12" t="n"/>
      <c r="C65" s="12" t="n"/>
      <c r="D65" s="12" t="n"/>
      <c r="E65" s="12" t="n"/>
      <c r="F65" s="12" t="n"/>
      <c r="H65" s="0" t="n"/>
      <c r="I65" s="0" t="n"/>
      <c r="J65" s="0" t="n"/>
      <c r="K65" s="0" t="n"/>
      <c r="L65" s="0" t="n"/>
      <c r="M65" s="0" t="n"/>
      <c r="N65" s="0" t="n"/>
    </row>
    <row r="66" s="53">
      <c r="A66" s="12" t="n"/>
      <c r="B66" s="12" t="n"/>
      <c r="C66" s="12" t="n"/>
      <c r="D66" s="12" t="n"/>
      <c r="E66" s="12" t="n"/>
      <c r="F66" s="12" t="n"/>
      <c r="H66" s="0" t="n"/>
      <c r="I66" s="0" t="n"/>
      <c r="J66" s="0" t="n"/>
      <c r="K66" s="0" t="n"/>
      <c r="L66" s="0" t="n"/>
      <c r="M66" s="0" t="n"/>
      <c r="N66" s="0" t="n"/>
    </row>
    <row r="67" s="53">
      <c r="A67" s="12" t="n"/>
      <c r="B67" s="12" t="n"/>
      <c r="C67" s="12" t="n"/>
      <c r="D67" s="12" t="n"/>
      <c r="E67" s="12" t="n"/>
      <c r="F67" s="12" t="n"/>
      <c r="H67" s="0" t="n"/>
      <c r="I67" s="0" t="n"/>
      <c r="J67" s="0" t="n"/>
      <c r="K67" s="0" t="n"/>
      <c r="L67" s="0" t="n"/>
      <c r="M67" s="0" t="n"/>
      <c r="N67" s="0" t="n"/>
    </row>
    <row r="68" s="53">
      <c r="A68" s="59" t="n"/>
      <c r="B68" s="59" t="n"/>
      <c r="C68" s="60" t="n"/>
      <c r="E68" s="61" t="n"/>
      <c r="H68" s="0" t="n"/>
      <c r="I68" s="0" t="n"/>
      <c r="J68" s="0" t="n"/>
      <c r="K68" s="0" t="n"/>
      <c r="L68" s="0" t="n"/>
      <c r="M68" s="0" t="n"/>
      <c r="N68" s="0" t="n"/>
    </row>
  </sheetData>
  <autoFilter ref="A4:F8"/>
  <mergeCells count="3">
    <mergeCell ref="A10:C10"/>
    <mergeCell ref="A19:C19"/>
    <mergeCell ref="A2:C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zoomScaleNormal="100" workbookViewId="0">
      <selection activeCell="I9" sqref="I9"/>
    </sheetView>
  </sheetViews>
  <sheetFormatPr baseColWidth="8" defaultRowHeight="16.5"/>
  <cols>
    <col width="14.375" customWidth="1" style="59" min="1" max="1"/>
    <col width="10.75" customWidth="1" style="59" min="2" max="2"/>
    <col width="8.125" customWidth="1" style="60" min="3" max="3"/>
    <col width="12.875" customWidth="1" style="53" min="4" max="4"/>
    <col width="16.75" customWidth="1" style="61" min="5" max="5"/>
    <col width="15.25" customWidth="1" style="53" min="6" max="7"/>
    <col width="9" customWidth="1" style="53" min="9" max="10"/>
    <col width="11.375" customWidth="1" style="53" min="11" max="11"/>
    <col width="12.75" customWidth="1" style="53" min="12" max="12"/>
    <col width="9" customWidth="1" style="53" min="13" max="14"/>
  </cols>
  <sheetData>
    <row r="1" ht="17.25" customHeight="1" s="53" thickBot="1">
      <c r="E1" s="44" t="n"/>
      <c r="F1" s="62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3" t="inlineStr">
        <is>
          <t>전기료 총액(6층)</t>
        </is>
      </c>
      <c r="B2" s="55" t="n"/>
      <c r="C2" s="56" t="n"/>
      <c r="D2" s="64">
        <f>178591+5134+4820+130-4</f>
        <v/>
      </c>
      <c r="E2" s="64" t="n">
        <v>17859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2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17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0" t="inlineStr">
        <is>
          <t>설계1실</t>
        </is>
      </c>
      <c r="B5" s="71" t="inlineStr">
        <is>
          <t>제조</t>
        </is>
      </c>
      <c r="C5" s="72">
        <f>COUNTIF(L:L,"설계1실")</f>
        <v/>
      </c>
      <c r="D5" s="73">
        <f>ROUND($D$2/$C$8*C5,0)</f>
        <v/>
      </c>
      <c r="E5" s="73">
        <f>ROUND($E$2/$C$8*C5,0)</f>
        <v/>
      </c>
      <c r="F5" s="74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이재영</t>
        </is>
      </c>
      <c r="N5" s="17" t="inlineStr">
        <is>
          <t>과장</t>
        </is>
      </c>
    </row>
    <row r="6">
      <c r="A6" s="70" t="inlineStr">
        <is>
          <t>설계2실</t>
        </is>
      </c>
      <c r="B6" s="71" t="inlineStr">
        <is>
          <t>제조</t>
        </is>
      </c>
      <c r="C6" s="72">
        <f>COUNTIF(L:L,"설계2실")</f>
        <v/>
      </c>
      <c r="D6" s="73">
        <f>ROUND($D$2/$C$8*C6,0)</f>
        <v/>
      </c>
      <c r="E6" s="73">
        <f>ROUND($E$2/$C$8*C6,0)</f>
        <v/>
      </c>
      <c r="F6" s="74">
        <f>D6+E6</f>
        <v/>
      </c>
      <c r="I6" s="17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강지혜</t>
        </is>
      </c>
      <c r="N6" s="17" t="inlineStr">
        <is>
          <t>대리</t>
        </is>
      </c>
    </row>
    <row r="7" ht="17.25" customHeight="1" s="53" thickBot="1">
      <c r="A7" s="75" t="inlineStr">
        <is>
          <t>설계본부</t>
        </is>
      </c>
      <c r="B7" s="71" t="inlineStr">
        <is>
          <t>제조</t>
        </is>
      </c>
      <c r="C7" s="72">
        <f>COUNTIF(L:L,"설계본부")</f>
        <v/>
      </c>
      <c r="D7" s="73">
        <f>ROUND($D$2/$C$8*C7,0)-1</f>
        <v/>
      </c>
      <c r="E7" s="73">
        <f>ROUND($E$2/$C$8*C7,0)-1</f>
        <v/>
      </c>
      <c r="F7" s="74">
        <f>D7+E7</f>
        <v/>
      </c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이경태</t>
        </is>
      </c>
      <c r="N7" s="17" t="inlineStr">
        <is>
          <t>차장</t>
        </is>
      </c>
    </row>
    <row r="8" ht="17.25" customHeight="1" s="53" thickBot="1">
      <c r="A8" s="66" t="inlineStr">
        <is>
          <t>총합</t>
        </is>
      </c>
      <c r="B8" s="67" t="n"/>
      <c r="C8" s="68">
        <f>SUM(C5:C7)</f>
        <v/>
      </c>
      <c r="D8" s="76">
        <f>SUM(D5:D7)</f>
        <v/>
      </c>
      <c r="E8" s="76">
        <f>SUM(E5:E7)</f>
        <v/>
      </c>
      <c r="F8" s="77">
        <f>SUM(F5:F7)</f>
        <v/>
      </c>
      <c r="I8" s="17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최경천</t>
        </is>
      </c>
      <c r="N8" s="17" t="inlineStr">
        <is>
          <t>차장</t>
        </is>
      </c>
    </row>
    <row r="9" ht="17.25" customHeight="1" s="53" thickBot="1">
      <c r="D9" s="78" t="n"/>
      <c r="F9" s="79" t="n"/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이재선</t>
        </is>
      </c>
      <c r="N9" s="17" t="inlineStr">
        <is>
          <t>차장</t>
        </is>
      </c>
    </row>
    <row r="10" ht="17.25" customHeight="1" s="53" thickBot="1">
      <c r="A10" s="63" t="inlineStr">
        <is>
          <t>전기료 총액(11층)</t>
        </is>
      </c>
      <c r="B10" s="55" t="n"/>
      <c r="C10" s="56" t="n"/>
      <c r="D10" s="64">
        <f>226535+6110-9</f>
        <v/>
      </c>
      <c r="E10" s="64" t="n">
        <v>22654</v>
      </c>
      <c r="F10" s="65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이황</t>
        </is>
      </c>
      <c r="N10" s="17" t="inlineStr">
        <is>
          <t>과장</t>
        </is>
      </c>
    </row>
    <row r="11" ht="17.25" customHeight="1" s="53" thickBot="1">
      <c r="I11" s="37" t="n">
        <v>10</v>
      </c>
      <c r="J11" s="37" t="inlineStr">
        <is>
          <t>13층</t>
        </is>
      </c>
      <c r="K11" s="38" t="n"/>
      <c r="L11" s="37" t="inlineStr">
        <is>
          <t>경영기획실</t>
        </is>
      </c>
      <c r="M11" s="37" t="inlineStr">
        <is>
          <t>강소영</t>
        </is>
      </c>
      <c r="N11" s="37" t="inlineStr">
        <is>
          <t>주임</t>
        </is>
      </c>
    </row>
    <row r="12" ht="17.25" customHeight="1" s="53" thickBot="1" thickTop="1">
      <c r="A12" s="66" t="inlineStr">
        <is>
          <t>부서</t>
        </is>
      </c>
      <c r="B12" s="67" t="inlineStr">
        <is>
          <t>계정</t>
        </is>
      </c>
      <c r="C12" s="68" t="inlineStr">
        <is>
          <t>인원</t>
        </is>
      </c>
      <c r="D12" s="28" t="inlineStr">
        <is>
          <t>공급가</t>
        </is>
      </c>
      <c r="E12" s="69" t="inlineStr">
        <is>
          <t>부가세</t>
        </is>
      </c>
      <c r="F12" s="30" t="inlineStr">
        <is>
          <t>합계</t>
        </is>
      </c>
      <c r="I12" s="22" t="n">
        <v>1</v>
      </c>
      <c r="J12" s="36" t="inlineStr">
        <is>
          <t>6층</t>
        </is>
      </c>
      <c r="K12" s="36" t="inlineStr">
        <is>
          <t>설계본부</t>
        </is>
      </c>
      <c r="L12" s="36" t="inlineStr">
        <is>
          <t>설계본부</t>
        </is>
      </c>
      <c r="M12" s="36" t="inlineStr">
        <is>
          <t>오진택</t>
        </is>
      </c>
      <c r="N12" s="36" t="inlineStr">
        <is>
          <t>전무</t>
        </is>
      </c>
    </row>
    <row r="13" ht="17.25" customHeight="1" s="53">
      <c r="A13" s="75" t="inlineStr">
        <is>
          <t>신사업개발실</t>
        </is>
      </c>
      <c r="B13" s="71" t="inlineStr">
        <is>
          <t>제조</t>
        </is>
      </c>
      <c r="C13" s="72">
        <f>COUNTIF(L:L,"신사업개발실")</f>
        <v/>
      </c>
      <c r="D13" s="73">
        <f>ROUND($D$10/$C$17*C13,0)</f>
        <v/>
      </c>
      <c r="E13" s="73">
        <f>ROUND($E$10/$C$17*C13,0)</f>
        <v/>
      </c>
      <c r="F13" s="74">
        <f>D13+E13</f>
        <v/>
      </c>
      <c r="I13" s="17" t="n">
        <v>2</v>
      </c>
      <c r="J13" s="17" t="inlineStr">
        <is>
          <t>6층</t>
        </is>
      </c>
      <c r="K13" s="17" t="inlineStr">
        <is>
          <t>설계본부</t>
        </is>
      </c>
      <c r="L13" s="17" t="inlineStr">
        <is>
          <t>설계1실</t>
        </is>
      </c>
      <c r="M13" s="17" t="inlineStr">
        <is>
          <t>최우제</t>
        </is>
      </c>
      <c r="N13" s="17" t="inlineStr">
        <is>
          <t>상무</t>
        </is>
      </c>
    </row>
    <row r="14">
      <c r="A14" s="75" t="inlineStr">
        <is>
          <t>영업관리실</t>
        </is>
      </c>
      <c r="B14" s="80" t="inlineStr">
        <is>
          <t>판관</t>
        </is>
      </c>
      <c r="C14" s="72">
        <f>COUNTIF(L:L,"영업관리실")</f>
        <v/>
      </c>
      <c r="D14" s="73">
        <f>ROUND($D$10/$C$17*C14,0)</f>
        <v/>
      </c>
      <c r="E14" s="73">
        <f>ROUND($E$10/$C$17*C14,0)</f>
        <v/>
      </c>
      <c r="F14" s="74">
        <f>D14+E14</f>
        <v/>
      </c>
      <c r="I14" s="22" t="n">
        <v>3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설계1실</t>
        </is>
      </c>
      <c r="M14" s="17" t="inlineStr">
        <is>
          <t>김채영</t>
        </is>
      </c>
      <c r="N14" s="17" t="inlineStr">
        <is>
          <t>이사</t>
        </is>
      </c>
    </row>
    <row r="15">
      <c r="A15" s="75" t="inlineStr">
        <is>
          <t>사업관리실</t>
        </is>
      </c>
      <c r="B15" s="80" t="inlineStr">
        <is>
          <t>판관</t>
        </is>
      </c>
      <c r="C15" s="72">
        <f>COUNTIF(L:L,"사업관리실")</f>
        <v/>
      </c>
      <c r="D15" s="73">
        <f>ROUND($D$10/$C$17*C15,0)</f>
        <v/>
      </c>
      <c r="E15" s="73">
        <f>ROUND($E$10/$C$17*C15,0)</f>
        <v/>
      </c>
      <c r="F15" s="74">
        <f>D15+E15</f>
        <v/>
      </c>
      <c r="I15" s="17" t="n">
        <v>4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김태은</t>
        </is>
      </c>
      <c r="N15" s="17" t="inlineStr">
        <is>
          <t>과장</t>
        </is>
      </c>
    </row>
    <row r="16" ht="17.25" customHeight="1" s="53" thickBot="1">
      <c r="A16" s="75" t="inlineStr">
        <is>
          <t>사업관리본부</t>
        </is>
      </c>
      <c r="B16" s="80" t="inlineStr">
        <is>
          <t>판관</t>
        </is>
      </c>
      <c r="C16" s="72">
        <f>COUNTIF(L:L,"사업관리본부")</f>
        <v/>
      </c>
      <c r="D16" s="73">
        <f>ROUND($D$10/$C$17*C16,0)+1</f>
        <v/>
      </c>
      <c r="E16" s="73">
        <f>ROUND($E$10/$C$17*C16,0)-1</f>
        <v/>
      </c>
      <c r="F16" s="74">
        <f>D16+E16</f>
        <v/>
      </c>
      <c r="I16" s="22" t="n">
        <v>5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기재관</t>
        </is>
      </c>
      <c r="N16" s="17" t="inlineStr">
        <is>
          <t>과장</t>
        </is>
      </c>
    </row>
    <row r="17" ht="17.25" customHeight="1" s="53" thickBot="1">
      <c r="A17" s="66" t="inlineStr">
        <is>
          <t>총합</t>
        </is>
      </c>
      <c r="B17" s="67" t="n"/>
      <c r="C17" s="68">
        <f>SUM(C13:C16)</f>
        <v/>
      </c>
      <c r="D17" s="76">
        <f>SUM(D13:D16)</f>
        <v/>
      </c>
      <c r="E17" s="76">
        <f>SUM(E13:E16)</f>
        <v/>
      </c>
      <c r="F17" s="77">
        <f>SUM(F13:F16)</f>
        <v/>
      </c>
      <c r="I17" s="17" t="n">
        <v>6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김민호</t>
        </is>
      </c>
      <c r="N17" s="17" t="inlineStr">
        <is>
          <t>대리</t>
        </is>
      </c>
    </row>
    <row r="18" ht="17.25" customHeight="1" s="53" thickBot="1">
      <c r="I18" s="22" t="n">
        <v>7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 ht="17.25" customHeight="1" s="53" thickBot="1">
      <c r="A19" s="63" t="inlineStr">
        <is>
          <t>전기료 총액(13층)</t>
        </is>
      </c>
      <c r="B19" s="55" t="n"/>
      <c r="C19" s="56" t="n"/>
      <c r="D19" s="64">
        <f>262136+7070</f>
        <v/>
      </c>
      <c r="E19" s="64" t="n">
        <v>26214</v>
      </c>
      <c r="F19" s="65">
        <f>D19+E19</f>
        <v/>
      </c>
      <c r="I19" s="17" t="n">
        <v>8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최수용</t>
        </is>
      </c>
      <c r="N19" s="17" t="inlineStr">
        <is>
          <t>사원</t>
        </is>
      </c>
    </row>
    <row r="20" ht="17.25" customHeight="1" s="53" thickBot="1">
      <c r="I20" s="22" t="n">
        <v>9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조지은</t>
        </is>
      </c>
      <c r="N20" s="17" t="inlineStr">
        <is>
          <t>이사</t>
        </is>
      </c>
    </row>
    <row r="21" ht="17.25" customHeight="1" s="53" thickBot="1">
      <c r="A21" s="66" t="inlineStr">
        <is>
          <t>부서</t>
        </is>
      </c>
      <c r="B21" s="67" t="inlineStr">
        <is>
          <t>계정</t>
        </is>
      </c>
      <c r="C21" s="68" t="inlineStr">
        <is>
          <t>인원</t>
        </is>
      </c>
      <c r="D21" s="28" t="inlineStr">
        <is>
          <t>공급가</t>
        </is>
      </c>
      <c r="E21" s="69" t="inlineStr">
        <is>
          <t>부가세</t>
        </is>
      </c>
      <c r="F21" s="30" t="inlineStr">
        <is>
          <t>합계</t>
        </is>
      </c>
      <c r="I21" s="17" t="n">
        <v>10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3">
      <c r="A22" s="70" t="inlineStr">
        <is>
          <t>경영기획실</t>
        </is>
      </c>
      <c r="B22" s="80" t="inlineStr">
        <is>
          <t>판관</t>
        </is>
      </c>
      <c r="C22" s="72">
        <f>COUNTIF(L:L,"경영기획실")</f>
        <v/>
      </c>
      <c r="D22" s="73">
        <f>ROUND($D$19/$C$25*C22,0)-1</f>
        <v/>
      </c>
      <c r="E22" s="73">
        <f>ROUND($E$19/$C$25*C22,0)+1</f>
        <v/>
      </c>
      <c r="F22" s="74">
        <f>D22+E22</f>
        <v/>
      </c>
      <c r="I22" s="22" t="n">
        <v>11</v>
      </c>
      <c r="J22" s="17" t="inlineStr">
        <is>
          <t>6층</t>
        </is>
      </c>
      <c r="K22" s="17" t="inlineStr">
        <is>
          <t>설계본부</t>
        </is>
      </c>
      <c r="L22" s="17" t="inlineStr">
        <is>
          <t>설계2실</t>
        </is>
      </c>
      <c r="M22" s="17" t="inlineStr">
        <is>
          <t>류승호</t>
        </is>
      </c>
      <c r="N22" s="17" t="inlineStr">
        <is>
          <t>과장</t>
        </is>
      </c>
    </row>
    <row r="23">
      <c r="A23" s="75" t="inlineStr">
        <is>
          <t>감사역</t>
        </is>
      </c>
      <c r="B23" s="80" t="inlineStr">
        <is>
          <t>판관</t>
        </is>
      </c>
      <c r="C23" s="72">
        <f>COUNTIF(L:L,"감사역")</f>
        <v/>
      </c>
      <c r="D23" s="73">
        <f>ROUND($D$19/$C$25*C23,0)</f>
        <v/>
      </c>
      <c r="E23" s="73">
        <f>ROUND($E$19/$C$25*C23,0)</f>
        <v/>
      </c>
      <c r="F23" s="74">
        <f>D23+E23</f>
        <v/>
      </c>
      <c r="I23" s="17" t="n">
        <v>12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최수지</t>
        </is>
      </c>
      <c r="N23" s="17" t="inlineStr">
        <is>
          <t>과장</t>
        </is>
      </c>
    </row>
    <row r="24" ht="17.25" customHeight="1" s="53" thickBot="1">
      <c r="A24" s="75" t="inlineStr">
        <is>
          <t>R&amp;D본부</t>
        </is>
      </c>
      <c r="B24" s="71" t="inlineStr">
        <is>
          <t>연구</t>
        </is>
      </c>
      <c r="C24" s="72">
        <f>COUNTIF(L:L,"R&amp;D본부")</f>
        <v/>
      </c>
      <c r="D24" s="73">
        <f>ROUND($D$19/$C$25*C24,0)</f>
        <v/>
      </c>
      <c r="E24" s="73">
        <f>ROUND($E$19/$C$25*C24,0)</f>
        <v/>
      </c>
      <c r="F24" s="74">
        <f>D24+E24</f>
        <v/>
      </c>
      <c r="I24" s="22" t="n">
        <v>13</v>
      </c>
      <c r="J24" s="17" t="inlineStr">
        <is>
          <t>6층</t>
        </is>
      </c>
      <c r="K24" s="20" t="inlineStr">
        <is>
          <t>설계본부</t>
        </is>
      </c>
      <c r="L24" s="17" t="inlineStr">
        <is>
          <t>설계2실</t>
        </is>
      </c>
      <c r="M24" s="17" t="inlineStr">
        <is>
          <t>황진욱</t>
        </is>
      </c>
      <c r="N24" s="17" t="inlineStr">
        <is>
          <t>대리</t>
        </is>
      </c>
    </row>
    <row r="25" ht="17.25" customHeight="1" s="53" thickBot="1">
      <c r="A25" s="66" t="inlineStr">
        <is>
          <t>총합</t>
        </is>
      </c>
      <c r="B25" s="67" t="n"/>
      <c r="C25" s="68">
        <f>SUM(C22:C24)</f>
        <v/>
      </c>
      <c r="D25" s="76">
        <f>SUM(D22:D24)</f>
        <v/>
      </c>
      <c r="E25" s="81">
        <f>SUM(E22:E24)</f>
        <v/>
      </c>
      <c r="F25" s="77">
        <f>SUM(F22:F24)</f>
        <v/>
      </c>
      <c r="I25" s="37" t="n">
        <v>14</v>
      </c>
      <c r="J25" s="37" t="inlineStr">
        <is>
          <t>6층</t>
        </is>
      </c>
      <c r="K25" s="37" t="inlineStr">
        <is>
          <t>설계본부</t>
        </is>
      </c>
      <c r="L25" s="37" t="inlineStr">
        <is>
          <t>설계2실</t>
        </is>
      </c>
      <c r="M25" s="37" t="inlineStr">
        <is>
          <t>오한솔</t>
        </is>
      </c>
      <c r="N25" s="37" t="inlineStr">
        <is>
          <t>주임</t>
        </is>
      </c>
    </row>
    <row r="26" ht="18" customHeight="1" s="53">
      <c r="E26" s="0" t="n"/>
      <c r="I26" s="22" t="n">
        <v>1</v>
      </c>
      <c r="J26" s="22" t="inlineStr">
        <is>
          <t>11층</t>
        </is>
      </c>
      <c r="K26" s="39" t="inlineStr">
        <is>
          <t>설계본부</t>
        </is>
      </c>
      <c r="L26" s="22" t="inlineStr">
        <is>
          <t>신사업개발실</t>
        </is>
      </c>
      <c r="M26" s="22" t="inlineStr">
        <is>
          <t>최진달미</t>
        </is>
      </c>
      <c r="N26" s="22" t="inlineStr">
        <is>
          <t>전무</t>
        </is>
      </c>
    </row>
    <row r="27">
      <c r="I27" s="17" t="n">
        <v>2</v>
      </c>
      <c r="J27" s="17" t="inlineStr">
        <is>
          <t>11층</t>
        </is>
      </c>
      <c r="K27" s="20" t="inlineStr">
        <is>
          <t>설계본부</t>
        </is>
      </c>
      <c r="L27" s="17" t="inlineStr">
        <is>
          <t>신사업개발실</t>
        </is>
      </c>
      <c r="M27" s="17" t="inlineStr">
        <is>
          <t>박종철</t>
        </is>
      </c>
      <c r="N27" s="17" t="inlineStr">
        <is>
          <t>이사</t>
        </is>
      </c>
    </row>
    <row r="28">
      <c r="I28" s="22" t="n">
        <v>3</v>
      </c>
      <c r="J28" s="17" t="inlineStr">
        <is>
          <t>11층</t>
        </is>
      </c>
      <c r="K28" s="17" t="inlineStr">
        <is>
          <t>설계본부</t>
        </is>
      </c>
      <c r="L28" s="17" t="inlineStr">
        <is>
          <t>신사업개발실</t>
        </is>
      </c>
      <c r="M28" s="17" t="inlineStr">
        <is>
          <t>이정진</t>
        </is>
      </c>
      <c r="N28" s="17" t="inlineStr">
        <is>
          <t>부장</t>
        </is>
      </c>
    </row>
    <row r="29">
      <c r="A29" s="47" t="n"/>
      <c r="B29" s="47" t="n"/>
      <c r="C29" s="47" t="n"/>
      <c r="D29" s="47" t="n"/>
      <c r="E29" s="47" t="n"/>
      <c r="F29" s="47" t="n"/>
      <c r="I29" s="17" t="n">
        <v>4</v>
      </c>
      <c r="J29" s="22" t="inlineStr">
        <is>
          <t>11층</t>
        </is>
      </c>
      <c r="K29" s="20" t="inlineStr">
        <is>
          <t>설계본부</t>
        </is>
      </c>
      <c r="L29" s="17" t="inlineStr">
        <is>
          <t>신사업개발실</t>
        </is>
      </c>
      <c r="M29" s="22" t="inlineStr">
        <is>
          <t>김순성</t>
        </is>
      </c>
      <c r="N29" s="22" t="inlineStr">
        <is>
          <t>고문</t>
        </is>
      </c>
    </row>
    <row r="30">
      <c r="A30" s="12" t="n"/>
      <c r="B30" s="12" t="n"/>
      <c r="C30" s="12" t="n"/>
      <c r="D30" s="12" t="n"/>
      <c r="E30" s="12" t="n"/>
      <c r="F30" s="12" t="n"/>
      <c r="I30" s="22" t="n">
        <v>5</v>
      </c>
      <c r="J30" s="36" t="inlineStr">
        <is>
          <t>11층</t>
        </is>
      </c>
      <c r="K30" s="36" t="inlineStr">
        <is>
          <t>사업관리본부</t>
        </is>
      </c>
      <c r="L30" s="36" t="inlineStr">
        <is>
          <t>사업관리본부</t>
        </is>
      </c>
      <c r="M30" s="36" t="inlineStr">
        <is>
          <t>김동우</t>
        </is>
      </c>
      <c r="N30" s="36" t="inlineStr">
        <is>
          <t>전무</t>
        </is>
      </c>
    </row>
    <row r="31">
      <c r="A31" s="12" t="n"/>
      <c r="B31" s="12" t="n"/>
      <c r="C31" s="12" t="n"/>
      <c r="D31" s="12" t="n"/>
      <c r="E31" s="12" t="n"/>
      <c r="F31" s="12" t="n"/>
      <c r="I31" s="17" t="n">
        <v>6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이성규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22" t="n">
        <v>7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이강호</t>
        </is>
      </c>
      <c r="N32" s="17" t="inlineStr">
        <is>
          <t>차장</t>
        </is>
      </c>
    </row>
    <row r="33">
      <c r="A33" s="12" t="n"/>
      <c r="B33" s="12" t="n"/>
      <c r="C33" s="12" t="n"/>
      <c r="D33" s="12" t="n"/>
      <c r="E33" s="12" t="n"/>
      <c r="F33" s="12" t="n"/>
      <c r="I33" s="17" t="n">
        <v>8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김동규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22" t="n">
        <v>9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사업관리실</t>
        </is>
      </c>
      <c r="M34" s="41" t="inlineStr">
        <is>
          <t>이완구</t>
        </is>
      </c>
      <c r="N34" s="17" t="inlineStr">
        <is>
          <t>부장</t>
        </is>
      </c>
    </row>
    <row r="35">
      <c r="A35" s="12" t="n"/>
      <c r="B35" s="12" t="n"/>
      <c r="C35" s="12" t="n"/>
      <c r="D35" s="12" t="n"/>
      <c r="E35" s="12" t="n"/>
      <c r="F35" s="12" t="n"/>
      <c r="I35" s="17" t="n">
        <v>10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주현철</t>
        </is>
      </c>
      <c r="N35" s="17" t="inlineStr">
        <is>
          <t>상무</t>
        </is>
      </c>
    </row>
    <row r="36">
      <c r="A36" s="12" t="n"/>
      <c r="B36" s="12" t="n"/>
      <c r="C36" s="12" t="n"/>
      <c r="D36" s="12" t="n"/>
      <c r="E36" s="12" t="n"/>
      <c r="F36" s="12" t="n"/>
      <c r="I36" s="22" t="n">
        <v>11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문광정</t>
        </is>
      </c>
      <c r="N36" s="17" t="inlineStr">
        <is>
          <t>부장</t>
        </is>
      </c>
    </row>
    <row r="37">
      <c r="A37" s="12" t="n"/>
      <c r="B37" s="12" t="n"/>
      <c r="C37" s="12" t="n"/>
      <c r="D37" s="12" t="n"/>
      <c r="E37" s="12" t="n"/>
      <c r="F37" s="12" t="n"/>
      <c r="I37" s="17" t="n">
        <v>12</v>
      </c>
      <c r="J37" s="17" t="inlineStr">
        <is>
          <t>13층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이현섭</t>
        </is>
      </c>
      <c r="N37" s="17" t="inlineStr">
        <is>
          <t>주임</t>
        </is>
      </c>
    </row>
    <row r="38">
      <c r="A38" s="12" t="n"/>
      <c r="B38" s="12" t="n"/>
      <c r="C38" s="12" t="n"/>
      <c r="D38" s="12" t="n"/>
      <c r="E38" s="12" t="n"/>
      <c r="F38" s="12" t="n"/>
      <c r="I38" s="22" t="n">
        <v>13</v>
      </c>
      <c r="J38" s="17" t="inlineStr">
        <is>
          <t>11층</t>
        </is>
      </c>
      <c r="K38" s="17" t="inlineStr">
        <is>
          <t>사업관리본부</t>
        </is>
      </c>
      <c r="L38" s="17" t="inlineStr">
        <is>
          <t>영업관리실</t>
        </is>
      </c>
      <c r="M38" s="17" t="inlineStr">
        <is>
          <t>김진규</t>
        </is>
      </c>
      <c r="N38" s="17" t="inlineStr">
        <is>
          <t>대리</t>
        </is>
      </c>
    </row>
    <row r="39" ht="17.25" customHeight="1" s="53" thickBot="1">
      <c r="A39" s="12" t="n"/>
      <c r="B39" s="12" t="n"/>
      <c r="C39" s="11" t="n"/>
      <c r="D39" s="12" t="n"/>
      <c r="E39" s="12" t="n"/>
      <c r="F39" s="12" t="n"/>
      <c r="I39" s="37" t="n">
        <v>14</v>
      </c>
      <c r="J39" s="37" t="inlineStr">
        <is>
          <t>11층</t>
        </is>
      </c>
      <c r="K39" s="37" t="inlineStr">
        <is>
          <t>사업관리본부</t>
        </is>
      </c>
      <c r="L39" s="37" t="inlineStr">
        <is>
          <t>영업관리실</t>
        </is>
      </c>
      <c r="M39" s="37" t="inlineStr">
        <is>
          <t>연지현</t>
        </is>
      </c>
      <c r="N39" s="37" t="inlineStr">
        <is>
          <t>주임</t>
        </is>
      </c>
    </row>
    <row r="40" ht="17.25" customHeight="1" s="53" thickTop="1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 s="53">
      <c r="A49" s="12" t="n"/>
      <c r="B49" s="12" t="n"/>
      <c r="C49" s="12" t="n"/>
      <c r="D49" s="12" t="n"/>
      <c r="E49" s="12" t="n"/>
      <c r="F49" s="12" t="n"/>
      <c r="H49" s="0" t="n"/>
      <c r="I49" s="0" t="n"/>
      <c r="J49" s="0" t="n"/>
    </row>
    <row r="50" s="53">
      <c r="A50" s="12" t="n"/>
      <c r="B50" s="12" t="n"/>
      <c r="C50" s="12" t="n"/>
      <c r="D50" s="12" t="n"/>
      <c r="E50" s="12" t="n"/>
      <c r="F50" s="12" t="n"/>
      <c r="H50" s="0" t="n"/>
      <c r="I50" s="0" t="n"/>
      <c r="J50" s="0" t="n"/>
    </row>
    <row r="51" s="53">
      <c r="A51" s="12" t="n"/>
      <c r="B51" s="12" t="n"/>
      <c r="C51" s="12" t="n"/>
      <c r="D51" s="12" t="n"/>
      <c r="E51" s="12" t="n"/>
      <c r="F51" s="12" t="n"/>
      <c r="H51" s="0" t="n"/>
      <c r="I51" s="0" t="n"/>
      <c r="J51" s="0" t="n"/>
    </row>
    <row r="52" s="53">
      <c r="A52" s="12" t="n"/>
      <c r="B52" s="12" t="n"/>
      <c r="C52" s="12" t="n"/>
      <c r="D52" s="12" t="n"/>
      <c r="E52" s="12" t="n"/>
      <c r="F52" s="12" t="n"/>
      <c r="H52" s="0" t="n"/>
      <c r="I52" s="0" t="n"/>
      <c r="J52" s="0" t="n"/>
    </row>
    <row r="53" s="53">
      <c r="A53" s="12" t="n"/>
      <c r="B53" s="12" t="n"/>
      <c r="C53" s="12" t="n"/>
      <c r="D53" s="12" t="n"/>
      <c r="E53" s="12" t="n"/>
      <c r="F53" s="12" t="n"/>
      <c r="H53" s="0" t="n"/>
      <c r="I53" s="0" t="n"/>
      <c r="J53" s="0" t="n"/>
    </row>
    <row r="54" s="53">
      <c r="A54" s="12" t="n"/>
      <c r="B54" s="12" t="n"/>
      <c r="C54" s="12" t="n"/>
      <c r="D54" s="12" t="n"/>
      <c r="E54" s="12" t="n"/>
      <c r="F54" s="12" t="n"/>
      <c r="H54" s="0" t="n"/>
      <c r="I54" s="0" t="n"/>
      <c r="J54" s="0" t="n"/>
    </row>
    <row r="55" s="53">
      <c r="A55" s="12" t="n"/>
      <c r="B55" s="12" t="n"/>
      <c r="C55" s="12" t="n"/>
      <c r="D55" s="12" t="n"/>
      <c r="E55" s="12" t="n"/>
      <c r="F55" s="12" t="n"/>
      <c r="H55" s="0" t="n"/>
      <c r="I55" s="0" t="n"/>
      <c r="J55" s="0" t="n"/>
    </row>
    <row r="56" s="53">
      <c r="A56" s="12" t="n"/>
      <c r="B56" s="12" t="n"/>
      <c r="C56" s="12" t="n"/>
      <c r="D56" s="12" t="n"/>
      <c r="E56" s="12" t="n"/>
      <c r="F56" s="12" t="n"/>
      <c r="H56" s="0" t="n"/>
      <c r="I56" s="0" t="n"/>
      <c r="J56" s="0" t="n"/>
    </row>
    <row r="57" s="53">
      <c r="A57" s="12" t="n"/>
      <c r="B57" s="12" t="n"/>
      <c r="C57" s="12" t="n"/>
      <c r="D57" s="12" t="n"/>
      <c r="E57" s="12" t="n"/>
      <c r="F57" s="12" t="n"/>
      <c r="H57" s="0" t="n"/>
      <c r="I57" s="0" t="n"/>
      <c r="J57" s="0" t="n"/>
    </row>
    <row r="58" s="53">
      <c r="A58" s="12" t="n"/>
      <c r="B58" s="12" t="n"/>
      <c r="C58" s="12" t="n"/>
      <c r="D58" s="12" t="n"/>
      <c r="E58" s="46" t="n"/>
      <c r="F58" s="12" t="n"/>
      <c r="H58" s="0" t="n"/>
      <c r="I58" s="0" t="n"/>
      <c r="J58" s="0" t="n"/>
    </row>
    <row r="59" s="53">
      <c r="A59" s="12" t="n"/>
      <c r="B59" s="12" t="n"/>
      <c r="C59" s="12" t="n"/>
      <c r="D59" s="12" t="n"/>
      <c r="E59" s="46" t="n"/>
      <c r="F59" s="12" t="n"/>
      <c r="H59" s="0" t="n"/>
      <c r="I59" s="0" t="n"/>
      <c r="J59" s="0" t="n"/>
    </row>
    <row r="60" s="53">
      <c r="A60" s="12" t="n"/>
      <c r="B60" s="12" t="n"/>
      <c r="C60" s="12" t="n"/>
      <c r="D60" s="12" t="n"/>
      <c r="E60" s="46" t="n"/>
      <c r="F60" s="12" t="n"/>
      <c r="H60" s="0" t="n"/>
      <c r="I60" s="0" t="n"/>
      <c r="J60" s="0" t="n"/>
    </row>
    <row r="61" s="53">
      <c r="A61" s="12" t="n"/>
      <c r="B61" s="12" t="n"/>
      <c r="C61" s="12" t="n"/>
      <c r="D61" s="12" t="n"/>
      <c r="E61" s="46" t="n"/>
      <c r="F61" s="12" t="n"/>
      <c r="H61" s="0" t="n"/>
      <c r="I61" s="0" t="n"/>
      <c r="J61" s="0" t="n"/>
    </row>
    <row r="62" s="53">
      <c r="A62" s="12" t="n"/>
      <c r="B62" s="12" t="n"/>
      <c r="C62" s="12" t="n"/>
      <c r="D62" s="12" t="n"/>
      <c r="E62" s="12" t="n"/>
      <c r="F62" s="12" t="n"/>
      <c r="H62" s="0" t="n"/>
      <c r="I62" s="0" t="n"/>
      <c r="J62" s="0" t="n"/>
    </row>
    <row r="63" s="53">
      <c r="A63" s="12" t="n"/>
      <c r="B63" s="12" t="n"/>
      <c r="C63" s="12" t="n"/>
      <c r="D63" s="12" t="n"/>
      <c r="E63" s="12" t="n"/>
      <c r="F63" s="12" t="n"/>
      <c r="H63" s="0" t="n"/>
      <c r="I63" s="0" t="n"/>
      <c r="J63" s="0" t="n"/>
    </row>
    <row r="64" s="53">
      <c r="A64" s="12" t="n"/>
      <c r="B64" s="12" t="n"/>
      <c r="C64" s="12" t="n"/>
      <c r="D64" s="12" t="n"/>
      <c r="E64" s="12" t="n"/>
      <c r="F64" s="12" t="n"/>
      <c r="H64" s="0" t="n"/>
      <c r="I64" s="0" t="n"/>
      <c r="J64" s="0" t="n"/>
    </row>
    <row r="65" s="53">
      <c r="A65" s="12" t="n"/>
      <c r="B65" s="12" t="n"/>
      <c r="C65" s="12" t="n"/>
      <c r="D65" s="12" t="n"/>
      <c r="E65" s="12" t="n"/>
      <c r="F65" s="12" t="n"/>
      <c r="H65" s="0" t="n"/>
      <c r="I65" s="0" t="n"/>
      <c r="J65" s="0" t="n"/>
    </row>
    <row r="66" s="53">
      <c r="A66" s="12" t="n"/>
      <c r="B66" s="12" t="n"/>
      <c r="C66" s="12" t="n"/>
      <c r="D66" s="12" t="n"/>
      <c r="E66" s="12" t="n"/>
      <c r="F66" s="12" t="n"/>
      <c r="H66" s="0" t="n"/>
      <c r="I66" s="0" t="n"/>
      <c r="J66" s="0" t="n"/>
    </row>
    <row r="67" s="53">
      <c r="A67" s="59" t="n"/>
      <c r="B67" s="59" t="n"/>
      <c r="C67" s="60" t="n"/>
      <c r="E67" s="61" t="n"/>
      <c r="H67" s="0" t="n"/>
      <c r="I67" s="0" t="n"/>
      <c r="J67" s="0" t="n"/>
    </row>
  </sheetData>
  <autoFilter ref="A4:F8"/>
  <mergeCells count="3">
    <mergeCell ref="A10:C10"/>
    <mergeCell ref="A19:C19"/>
    <mergeCell ref="A2:C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zoomScale="115" zoomScaleNormal="115" workbookViewId="0">
      <selection activeCell="I1" sqref="I1:N1048576"/>
    </sheetView>
  </sheetViews>
  <sheetFormatPr baseColWidth="8" defaultRowHeight="16.5"/>
  <cols>
    <col width="14.375" customWidth="1" style="59" min="1" max="1"/>
    <col width="10.75" customWidth="1" style="59" min="2" max="2"/>
    <col width="8.125" customWidth="1" style="60" min="3" max="3"/>
    <col width="12.875" customWidth="1" style="53" min="4" max="4"/>
    <col width="16.75" customWidth="1" style="61" min="5" max="5"/>
    <col width="15.25" customWidth="1" style="53" min="6" max="7"/>
    <col hidden="1" style="53" min="9" max="10"/>
    <col hidden="1" width="11.375" customWidth="1" style="53" min="11" max="11"/>
    <col hidden="1" width="12.75" customWidth="1" style="53" min="12" max="12"/>
    <col hidden="1" style="53" min="13" max="14"/>
  </cols>
  <sheetData>
    <row r="1" ht="17.25" customHeight="1" s="53" thickBot="1">
      <c r="E1" s="42" t="n">
        <v>385770</v>
      </c>
      <c r="F1" s="82" t="inlineStr">
        <is>
          <t>미납전기료(예다여성의원)</t>
        </is>
      </c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3" t="inlineStr">
        <is>
          <t>전기료 총액(6층)</t>
        </is>
      </c>
      <c r="B2" s="55" t="n"/>
      <c r="C2" s="56" t="n"/>
      <c r="D2" s="64">
        <f>186271+5020-8</f>
        <v/>
      </c>
      <c r="E2" s="64" t="n">
        <v>18627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2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17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0" t="inlineStr">
        <is>
          <t>설계1실</t>
        </is>
      </c>
      <c r="B5" s="71" t="inlineStr">
        <is>
          <t>제조</t>
        </is>
      </c>
      <c r="C5" s="72">
        <f>COUNTIF(L:L,"설계1실")</f>
        <v/>
      </c>
      <c r="D5" s="73">
        <f>ROUND($D$2/$C$9*C5,0)</f>
        <v/>
      </c>
      <c r="E5" s="73">
        <f>ROUND($E$2/$C$9*C5,0)</f>
        <v/>
      </c>
      <c r="F5" s="74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이재영</t>
        </is>
      </c>
      <c r="N5" s="17" t="inlineStr">
        <is>
          <t>과장</t>
        </is>
      </c>
    </row>
    <row r="6">
      <c r="A6" s="70" t="inlineStr">
        <is>
          <t>설계2실</t>
        </is>
      </c>
      <c r="B6" s="71" t="inlineStr">
        <is>
          <t>제조</t>
        </is>
      </c>
      <c r="C6" s="72">
        <f>COUNTIF(L:L,"설계2실")</f>
        <v/>
      </c>
      <c r="D6" s="73">
        <f>ROUND($D$2/$C$9*C6,0)</f>
        <v/>
      </c>
      <c r="E6" s="73">
        <f>ROUND($E$2/$C$9*C6,0)</f>
        <v/>
      </c>
      <c r="F6" s="74">
        <f>D6+E6</f>
        <v/>
      </c>
      <c r="I6" s="17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강지혜</t>
        </is>
      </c>
      <c r="N6" s="17" t="inlineStr">
        <is>
          <t>대리</t>
        </is>
      </c>
    </row>
    <row r="7">
      <c r="A7" s="83" t="n"/>
      <c r="B7" s="84" t="n"/>
      <c r="C7" s="85" t="n"/>
      <c r="D7" s="86" t="n"/>
      <c r="E7" s="86" t="n"/>
      <c r="F7" s="87" t="n"/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이경태</t>
        </is>
      </c>
      <c r="N7" s="17" t="inlineStr">
        <is>
          <t>차장</t>
        </is>
      </c>
    </row>
    <row r="8" ht="17.25" customHeight="1" s="53" thickBot="1">
      <c r="A8" s="75" t="inlineStr">
        <is>
          <t>설계본부</t>
        </is>
      </c>
      <c r="B8" s="71" t="inlineStr">
        <is>
          <t>제조</t>
        </is>
      </c>
      <c r="C8" s="72">
        <f>COUNTIF(L:L,"설계본부")</f>
        <v/>
      </c>
      <c r="D8" s="73">
        <f>ROUND($D$2/$C$9*C8,0)</f>
        <v/>
      </c>
      <c r="E8" s="73">
        <f>ROUND($E$2/$C$9*C8,0)</f>
        <v/>
      </c>
      <c r="F8" s="74">
        <f>D8+E8</f>
        <v/>
      </c>
      <c r="I8" s="17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최경천</t>
        </is>
      </c>
      <c r="N8" s="17" t="inlineStr">
        <is>
          <t>차장</t>
        </is>
      </c>
    </row>
    <row r="9" ht="17.25" customHeight="1" s="53" thickBot="1">
      <c r="A9" s="66" t="inlineStr">
        <is>
          <t>총합</t>
        </is>
      </c>
      <c r="B9" s="67" t="n"/>
      <c r="C9" s="68">
        <f>SUM(C5:C8)</f>
        <v/>
      </c>
      <c r="D9" s="76">
        <f>SUM(D5:D8)</f>
        <v/>
      </c>
      <c r="E9" s="76">
        <f>SUM(E5:E8)</f>
        <v/>
      </c>
      <c r="F9" s="77">
        <f>SUM(F5:F8)</f>
        <v/>
      </c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이재선</t>
        </is>
      </c>
      <c r="N9" s="17" t="inlineStr">
        <is>
          <t>차장</t>
        </is>
      </c>
    </row>
    <row r="10" ht="17.25" customHeight="1" s="53" thickBot="1">
      <c r="D10" s="78" t="n"/>
      <c r="F10" s="79" t="n"/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이황</t>
        </is>
      </c>
      <c r="N10" s="17" t="inlineStr">
        <is>
          <t>과장</t>
        </is>
      </c>
    </row>
    <row r="11" ht="17.25" customHeight="1" s="53" thickBot="1">
      <c r="A11" s="63" t="inlineStr">
        <is>
          <t>전기료 총액(11층)</t>
        </is>
      </c>
      <c r="B11" s="55" t="n"/>
      <c r="C11" s="56" t="n"/>
      <c r="D11" s="64">
        <f>298043+8040-7</f>
        <v/>
      </c>
      <c r="E11" s="64" t="n">
        <v>29804</v>
      </c>
      <c r="F11" s="65">
        <f>D11+E11</f>
        <v/>
      </c>
      <c r="I11" s="37" t="n">
        <v>10</v>
      </c>
      <c r="J11" s="37" t="inlineStr">
        <is>
          <t>13층</t>
        </is>
      </c>
      <c r="K11" s="38" t="n"/>
      <c r="L11" s="37" t="inlineStr">
        <is>
          <t>경영기획실</t>
        </is>
      </c>
      <c r="M11" s="37" t="inlineStr">
        <is>
          <t>강소영</t>
        </is>
      </c>
      <c r="N11" s="37" t="inlineStr">
        <is>
          <t>주임</t>
        </is>
      </c>
    </row>
    <row r="12" ht="17.25" customHeight="1" s="53" thickBot="1">
      <c r="I12" s="22" t="n">
        <v>1</v>
      </c>
      <c r="J12" s="36" t="inlineStr">
        <is>
          <t>6층</t>
        </is>
      </c>
      <c r="K12" s="36" t="inlineStr">
        <is>
          <t>설계본부</t>
        </is>
      </c>
      <c r="L12" s="36" t="inlineStr">
        <is>
          <t>설계본부</t>
        </is>
      </c>
      <c r="M12" s="36" t="inlineStr">
        <is>
          <t>오진택</t>
        </is>
      </c>
      <c r="N12" s="36" t="inlineStr">
        <is>
          <t>전무</t>
        </is>
      </c>
    </row>
    <row r="13" ht="17.25" customHeight="1" s="53" thickBot="1">
      <c r="A13" s="66" t="inlineStr">
        <is>
          <t>부서</t>
        </is>
      </c>
      <c r="B13" s="67" t="inlineStr">
        <is>
          <t>계정</t>
        </is>
      </c>
      <c r="C13" s="68" t="inlineStr">
        <is>
          <t>인원</t>
        </is>
      </c>
      <c r="D13" s="28" t="inlineStr">
        <is>
          <t>공급가</t>
        </is>
      </c>
      <c r="E13" s="69" t="inlineStr">
        <is>
          <t>부가세</t>
        </is>
      </c>
      <c r="F13" s="30" t="inlineStr">
        <is>
          <t>합계</t>
        </is>
      </c>
      <c r="I13" s="17" t="n">
        <v>2</v>
      </c>
      <c r="J13" s="17" t="inlineStr">
        <is>
          <t>6층</t>
        </is>
      </c>
      <c r="K13" s="17" t="inlineStr">
        <is>
          <t>설계본부</t>
        </is>
      </c>
      <c r="L13" s="17" t="inlineStr">
        <is>
          <t>설계1실</t>
        </is>
      </c>
      <c r="M13" s="17" t="inlineStr">
        <is>
          <t>최우제</t>
        </is>
      </c>
      <c r="N13" s="17" t="inlineStr">
        <is>
          <t>상무</t>
        </is>
      </c>
    </row>
    <row r="14">
      <c r="A14" s="75" t="inlineStr">
        <is>
          <t>신사업개발실</t>
        </is>
      </c>
      <c r="B14" s="71" t="inlineStr">
        <is>
          <t>제조</t>
        </is>
      </c>
      <c r="C14" s="72">
        <f>COUNTIF(L:L,"신사업개발실")</f>
        <v/>
      </c>
      <c r="D14" s="73">
        <f>ROUND($D$11/$C$18*C14,0)</f>
        <v/>
      </c>
      <c r="E14" s="73">
        <f>ROUND($E$11/$C$18*C14,0)</f>
        <v/>
      </c>
      <c r="F14" s="74">
        <f>D14+E14</f>
        <v/>
      </c>
      <c r="I14" s="22" t="n">
        <v>3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설계2실</t>
        </is>
      </c>
      <c r="M14" s="17" t="inlineStr">
        <is>
          <t>김채영</t>
        </is>
      </c>
      <c r="N14" s="17" t="inlineStr">
        <is>
          <t>이사</t>
        </is>
      </c>
    </row>
    <row r="15">
      <c r="A15" s="75" t="inlineStr">
        <is>
          <t>영업관리실</t>
        </is>
      </c>
      <c r="B15" s="80" t="inlineStr">
        <is>
          <t>판관</t>
        </is>
      </c>
      <c r="C15" s="72">
        <f>COUNTIF(L:L,"영업관리실")</f>
        <v/>
      </c>
      <c r="D15" s="73">
        <f>ROUND($D$11/$C$18*C15,0)</f>
        <v/>
      </c>
      <c r="E15" s="73">
        <f>ROUND($E$11/$C$18*C15,0)</f>
        <v/>
      </c>
      <c r="F15" s="74">
        <f>D15+E15</f>
        <v/>
      </c>
      <c r="I15" s="17" t="n">
        <v>4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김태은</t>
        </is>
      </c>
      <c r="N15" s="17" t="inlineStr">
        <is>
          <t>과장</t>
        </is>
      </c>
    </row>
    <row r="16">
      <c r="A16" s="75" t="inlineStr">
        <is>
          <t>사업관리실</t>
        </is>
      </c>
      <c r="B16" s="80" t="inlineStr">
        <is>
          <t>판관</t>
        </is>
      </c>
      <c r="C16" s="72">
        <f>COUNTIF(L:L,"사업관리실")</f>
        <v/>
      </c>
      <c r="D16" s="73">
        <f>ROUND($D$11/$C$18*C16,0)</f>
        <v/>
      </c>
      <c r="E16" s="73">
        <f>ROUND($E$11/$C$18*C16,0)</f>
        <v/>
      </c>
      <c r="F16" s="74">
        <f>D16+E16</f>
        <v/>
      </c>
      <c r="I16" s="22" t="n">
        <v>5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기재관</t>
        </is>
      </c>
      <c r="N16" s="17" t="inlineStr">
        <is>
          <t>과장</t>
        </is>
      </c>
    </row>
    <row r="17" ht="17.25" customHeight="1" s="53" thickBot="1">
      <c r="A17" s="75" t="inlineStr">
        <is>
          <t>사업관리본부</t>
        </is>
      </c>
      <c r="B17" s="80" t="inlineStr">
        <is>
          <t>판관</t>
        </is>
      </c>
      <c r="C17" s="72">
        <f>COUNTIF(L:L,"사업관리본부")</f>
        <v/>
      </c>
      <c r="D17" s="73">
        <f>ROUND($D$11/$C$18*C17,0)</f>
        <v/>
      </c>
      <c r="E17" s="73" t="n">
        <v>2130</v>
      </c>
      <c r="F17" s="74">
        <f>D17+E17</f>
        <v/>
      </c>
      <c r="I17" s="17" t="n">
        <v>6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이수영</t>
        </is>
      </c>
      <c r="N17" s="17" t="inlineStr">
        <is>
          <t>주임</t>
        </is>
      </c>
    </row>
    <row r="18" ht="17.25" customHeight="1" s="53" thickBot="1">
      <c r="A18" s="66" t="inlineStr">
        <is>
          <t>총합</t>
        </is>
      </c>
      <c r="B18" s="67" t="n"/>
      <c r="C18" s="68">
        <f>SUM(C14:C17)</f>
        <v/>
      </c>
      <c r="D18" s="76">
        <f>SUM(D14:D17)</f>
        <v/>
      </c>
      <c r="E18" s="76">
        <f>SUM(E14:E17)</f>
        <v/>
      </c>
      <c r="F18" s="77">
        <f>SUM(F14:F17)</f>
        <v/>
      </c>
      <c r="I18" s="22" t="n">
        <v>7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최수용</t>
        </is>
      </c>
      <c r="N18" s="17" t="inlineStr">
        <is>
          <t>사원</t>
        </is>
      </c>
    </row>
    <row r="19" ht="17.25" customHeight="1" s="53" thickBot="1">
      <c r="I19" s="17" t="n">
        <v>8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설계2실</t>
        </is>
      </c>
      <c r="M19" s="17" t="inlineStr">
        <is>
          <t>조지은</t>
        </is>
      </c>
      <c r="N19" s="17" t="inlineStr">
        <is>
          <t>이사</t>
        </is>
      </c>
    </row>
    <row r="20" ht="17.25" customHeight="1" s="53" thickBot="1">
      <c r="A20" s="63" t="inlineStr">
        <is>
          <t>전기료 총액(13층)</t>
        </is>
      </c>
      <c r="B20" s="55" t="n"/>
      <c r="C20" s="56" t="n"/>
      <c r="D20" s="64">
        <f>310393+8380-2</f>
        <v/>
      </c>
      <c r="E20" s="64" t="n">
        <v>31039</v>
      </c>
      <c r="F20" s="65">
        <f>D20+E20</f>
        <v/>
      </c>
      <c r="I20" s="22" t="n">
        <v>9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이예솔</t>
        </is>
      </c>
      <c r="N20" s="17" t="inlineStr">
        <is>
          <t>과장</t>
        </is>
      </c>
    </row>
    <row r="21" ht="17.25" customHeight="1" s="53" thickBot="1">
      <c r="I21" s="17" t="n">
        <v>10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류승호</t>
        </is>
      </c>
      <c r="N21" s="17" t="inlineStr">
        <is>
          <t>과장</t>
        </is>
      </c>
    </row>
    <row r="22" ht="17.25" customHeight="1" s="53" thickBot="1">
      <c r="A22" s="66" t="inlineStr">
        <is>
          <t>부서</t>
        </is>
      </c>
      <c r="B22" s="67" t="inlineStr">
        <is>
          <t>계정</t>
        </is>
      </c>
      <c r="C22" s="68" t="inlineStr">
        <is>
          <t>인원</t>
        </is>
      </c>
      <c r="D22" s="28" t="inlineStr">
        <is>
          <t>공급가</t>
        </is>
      </c>
      <c r="E22" s="69" t="inlineStr">
        <is>
          <t>부가세</t>
        </is>
      </c>
      <c r="F22" s="30" t="inlineStr">
        <is>
          <t>합계</t>
        </is>
      </c>
      <c r="I22" s="22" t="n">
        <v>11</v>
      </c>
      <c r="J22" s="17" t="inlineStr">
        <is>
          <t>6층</t>
        </is>
      </c>
      <c r="K22" s="20" t="inlineStr">
        <is>
          <t>설계본부</t>
        </is>
      </c>
      <c r="L22" s="17" t="inlineStr">
        <is>
          <t>설계2실</t>
        </is>
      </c>
      <c r="M22" s="17" t="inlineStr">
        <is>
          <t>황진욱</t>
        </is>
      </c>
      <c r="N22" s="17" t="inlineStr">
        <is>
          <t>대리</t>
        </is>
      </c>
    </row>
    <row r="23">
      <c r="A23" s="70" t="inlineStr">
        <is>
          <t>경영기획실</t>
        </is>
      </c>
      <c r="B23" s="80" t="inlineStr">
        <is>
          <t>판관</t>
        </is>
      </c>
      <c r="C23" s="72">
        <f>COUNTIF(L:L,"경영기획실")</f>
        <v/>
      </c>
      <c r="D23" s="73">
        <f>ROUND($D$20/$C$26*C23,0)</f>
        <v/>
      </c>
      <c r="E23" s="73" t="n">
        <v>24831</v>
      </c>
      <c r="F23" s="74">
        <f>D23+E23</f>
        <v/>
      </c>
      <c r="I23" s="17" t="n">
        <v>12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오한솔</t>
        </is>
      </c>
      <c r="N23" s="17" t="inlineStr">
        <is>
          <t>주임</t>
        </is>
      </c>
    </row>
    <row r="24" ht="17.25" customHeight="1" s="53" thickBot="1">
      <c r="A24" s="75" t="inlineStr">
        <is>
          <t>감사역</t>
        </is>
      </c>
      <c r="B24" s="80" t="inlineStr">
        <is>
          <t>판관</t>
        </is>
      </c>
      <c r="C24" s="72">
        <f>COUNTIF(L:L,"감사역")</f>
        <v/>
      </c>
      <c r="D24" s="73">
        <f>ROUND($D$20/$C$26*C24,0)</f>
        <v/>
      </c>
      <c r="E24" s="73" t="n">
        <v>3104</v>
      </c>
      <c r="F24" s="74">
        <f>D24+E24</f>
        <v/>
      </c>
      <c r="I24" s="37" t="n">
        <v>13</v>
      </c>
      <c r="J24" s="40" t="inlineStr">
        <is>
          <t>6층</t>
        </is>
      </c>
      <c r="K24" s="40" t="inlineStr">
        <is>
          <t>설계본부</t>
        </is>
      </c>
      <c r="L24" s="40" t="inlineStr">
        <is>
          <t>구조설계실</t>
        </is>
      </c>
      <c r="M24" s="40" t="inlineStr">
        <is>
          <t>김용남</t>
        </is>
      </c>
      <c r="N24" s="40" t="inlineStr">
        <is>
          <t>전무</t>
        </is>
      </c>
    </row>
    <row r="25" ht="18" customHeight="1" s="53" thickBot="1" thickTop="1">
      <c r="A25" s="75" t="inlineStr">
        <is>
          <t>R&amp;D본부</t>
        </is>
      </c>
      <c r="B25" s="71" t="inlineStr">
        <is>
          <t>연구</t>
        </is>
      </c>
      <c r="C25" s="72">
        <f>COUNTIF(L:L,"R&amp;D본부")</f>
        <v/>
      </c>
      <c r="D25" s="73">
        <f>ROUND($D$20/$C$26*C25,0)</f>
        <v/>
      </c>
      <c r="E25" s="73" t="n">
        <v>3104</v>
      </c>
      <c r="F25" s="74">
        <f>D25+E25</f>
        <v/>
      </c>
      <c r="I25" s="22" t="n">
        <v>1</v>
      </c>
      <c r="J25" s="22" t="inlineStr">
        <is>
          <t>11층</t>
        </is>
      </c>
      <c r="K25" s="39" t="inlineStr">
        <is>
          <t>설계본부</t>
        </is>
      </c>
      <c r="L25" s="22" t="inlineStr">
        <is>
          <t>신사업개발실</t>
        </is>
      </c>
      <c r="M25" s="22" t="inlineStr">
        <is>
          <t>최진달미</t>
        </is>
      </c>
      <c r="N25" s="22" t="inlineStr">
        <is>
          <t>전무</t>
        </is>
      </c>
    </row>
    <row r="26" ht="17.25" customHeight="1" s="53" thickBot="1">
      <c r="A26" s="66" t="inlineStr">
        <is>
          <t>총합</t>
        </is>
      </c>
      <c r="B26" s="67" t="n"/>
      <c r="C26" s="68">
        <f>SUM(C23:C25)</f>
        <v/>
      </c>
      <c r="D26" s="76">
        <f>SUM(D23:D25)</f>
        <v/>
      </c>
      <c r="E26" s="81">
        <f>SUM(E23:E25)</f>
        <v/>
      </c>
      <c r="F26" s="77">
        <f>SUM(F23:F25)</f>
        <v/>
      </c>
      <c r="I26" s="17" t="n">
        <v>2</v>
      </c>
      <c r="J26" s="17" t="inlineStr">
        <is>
          <t>11층</t>
        </is>
      </c>
      <c r="K26" s="20" t="inlineStr">
        <is>
          <t>설계본부</t>
        </is>
      </c>
      <c r="L26" s="17" t="inlineStr">
        <is>
          <t>신사업개발실</t>
        </is>
      </c>
      <c r="M26" s="17" t="inlineStr">
        <is>
          <t>박종철</t>
        </is>
      </c>
      <c r="N26" s="17" t="inlineStr">
        <is>
          <t>이사</t>
        </is>
      </c>
    </row>
    <row r="27">
      <c r="E27" s="0" t="n"/>
      <c r="I27" s="22" t="n">
        <v>3</v>
      </c>
      <c r="J27" s="17" t="inlineStr">
        <is>
          <t>11층</t>
        </is>
      </c>
      <c r="K27" s="17" t="inlineStr">
        <is>
          <t>설계본부</t>
        </is>
      </c>
      <c r="L27" s="17" t="inlineStr">
        <is>
          <t>신사업개발실</t>
        </is>
      </c>
      <c r="M27" s="17" t="inlineStr">
        <is>
          <t>이정진</t>
        </is>
      </c>
      <c r="N27" s="17" t="inlineStr">
        <is>
          <t>부장</t>
        </is>
      </c>
    </row>
    <row r="28">
      <c r="I28" s="17" t="n">
        <v>4</v>
      </c>
      <c r="J28" s="22" t="inlineStr">
        <is>
          <t>11층</t>
        </is>
      </c>
      <c r="K28" s="20" t="inlineStr">
        <is>
          <t>설계본부</t>
        </is>
      </c>
      <c r="L28" s="17" t="inlineStr">
        <is>
          <t>신사업개발실</t>
        </is>
      </c>
      <c r="M28" s="22" t="inlineStr">
        <is>
          <t>김순성</t>
        </is>
      </c>
      <c r="N28" s="22" t="inlineStr">
        <is>
          <t>고문</t>
        </is>
      </c>
    </row>
    <row r="29">
      <c r="I29" s="22" t="n">
        <v>5</v>
      </c>
      <c r="J29" s="36" t="inlineStr">
        <is>
          <t>11층</t>
        </is>
      </c>
      <c r="K29" s="36" t="inlineStr">
        <is>
          <t>사업관리본부</t>
        </is>
      </c>
      <c r="L29" s="36" t="inlineStr">
        <is>
          <t>사업관리본부</t>
        </is>
      </c>
      <c r="M29" s="36" t="inlineStr">
        <is>
          <t>김동우</t>
        </is>
      </c>
      <c r="N29" s="36" t="inlineStr">
        <is>
          <t>전무</t>
        </is>
      </c>
    </row>
    <row r="30">
      <c r="A30" s="47" t="n"/>
      <c r="B30" s="47" t="n"/>
      <c r="C30" s="47" t="n"/>
      <c r="D30" s="47" t="n"/>
      <c r="E30" s="47" t="n"/>
      <c r="F30" s="47" t="n"/>
      <c r="I30" s="17" t="n">
        <v>6</v>
      </c>
      <c r="J30" s="17" t="inlineStr">
        <is>
          <t>11층</t>
        </is>
      </c>
      <c r="K30" s="17" t="inlineStr">
        <is>
          <t>사업관리본부</t>
        </is>
      </c>
      <c r="L30" s="17" t="inlineStr">
        <is>
          <t>사업관리실</t>
        </is>
      </c>
      <c r="M30" s="41" t="inlineStr">
        <is>
          <t>이성규</t>
        </is>
      </c>
      <c r="N30" s="17" t="inlineStr">
        <is>
          <t>차장</t>
        </is>
      </c>
    </row>
    <row r="31">
      <c r="A31" s="12" t="n"/>
      <c r="B31" s="12" t="n"/>
      <c r="C31" s="12" t="n"/>
      <c r="D31" s="12" t="n"/>
      <c r="E31" s="12" t="n"/>
      <c r="F31" s="12" t="n"/>
      <c r="I31" s="22" t="n">
        <v>7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이강호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17" t="n">
        <v>8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김동규</t>
        </is>
      </c>
      <c r="N32" s="17" t="inlineStr">
        <is>
          <t>부장</t>
        </is>
      </c>
    </row>
    <row r="33">
      <c r="A33" s="12" t="n"/>
      <c r="B33" s="12" t="n"/>
      <c r="C33" s="12" t="n"/>
      <c r="D33" s="12" t="n"/>
      <c r="E33" s="12" t="n"/>
      <c r="F33" s="12" t="n"/>
      <c r="I33" s="22" t="n">
        <v>9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이완구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17" t="n">
        <v>10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영업관리실</t>
        </is>
      </c>
      <c r="M34" s="17" t="inlineStr">
        <is>
          <t>주현철</t>
        </is>
      </c>
      <c r="N34" s="17" t="inlineStr">
        <is>
          <t>상무</t>
        </is>
      </c>
    </row>
    <row r="35">
      <c r="A35" s="12" t="n"/>
      <c r="B35" s="12" t="n"/>
      <c r="C35" s="12" t="n"/>
      <c r="D35" s="12" t="n"/>
      <c r="E35" s="12" t="n"/>
      <c r="F35" s="12" t="n"/>
      <c r="I35" s="22" t="n">
        <v>11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문광정</t>
        </is>
      </c>
      <c r="N35" s="17" t="inlineStr">
        <is>
          <t>부장</t>
        </is>
      </c>
    </row>
    <row r="36">
      <c r="A36" s="12" t="n"/>
      <c r="B36" s="12" t="n"/>
      <c r="C36" s="12" t="n"/>
      <c r="D36" s="12" t="n"/>
      <c r="E36" s="12" t="n"/>
      <c r="F36" s="12" t="n"/>
      <c r="I36" s="17" t="n">
        <v>12</v>
      </c>
      <c r="J36" s="17" t="inlineStr">
        <is>
          <t>13층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이현섭</t>
        </is>
      </c>
      <c r="N36" s="17" t="inlineStr">
        <is>
          <t>주임</t>
        </is>
      </c>
    </row>
    <row r="37">
      <c r="A37" s="12" t="n"/>
      <c r="B37" s="12" t="n"/>
      <c r="C37" s="12" t="n"/>
      <c r="D37" s="12" t="n"/>
      <c r="E37" s="12" t="n"/>
      <c r="F37" s="12" t="n"/>
      <c r="I37" s="22" t="n">
        <v>13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김진규</t>
        </is>
      </c>
      <c r="N37" s="17" t="inlineStr">
        <is>
          <t>대리</t>
        </is>
      </c>
    </row>
    <row r="38" ht="17.25" customHeight="1" s="53" thickBot="1">
      <c r="A38" s="12" t="n"/>
      <c r="B38" s="12" t="n"/>
      <c r="C38" s="12" t="n"/>
      <c r="D38" s="12" t="n"/>
      <c r="E38" s="12" t="n"/>
      <c r="F38" s="12" t="n"/>
      <c r="I38" s="37" t="n">
        <v>14</v>
      </c>
      <c r="J38" s="37" t="inlineStr">
        <is>
          <t>11층</t>
        </is>
      </c>
      <c r="K38" s="37" t="inlineStr">
        <is>
          <t>사업관리본부</t>
        </is>
      </c>
      <c r="L38" s="37" t="inlineStr">
        <is>
          <t>영업관리실</t>
        </is>
      </c>
      <c r="M38" s="37" t="inlineStr">
        <is>
          <t>연지현</t>
        </is>
      </c>
      <c r="N38" s="37" t="inlineStr">
        <is>
          <t>주임</t>
        </is>
      </c>
    </row>
    <row r="39" ht="17.25" customHeight="1" s="53" thickTop="1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1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46" t="n"/>
      <c r="F59" s="12" t="n"/>
    </row>
    <row r="60">
      <c r="A60" s="12" t="n"/>
      <c r="B60" s="12" t="n"/>
      <c r="C60" s="12" t="n"/>
      <c r="D60" s="12" t="n"/>
      <c r="E60" s="46" t="n"/>
      <c r="F60" s="12" t="n"/>
    </row>
    <row r="61">
      <c r="A61" s="12" t="n"/>
      <c r="B61" s="12" t="n"/>
      <c r="C61" s="12" t="n"/>
      <c r="D61" s="12" t="n"/>
      <c r="E61" s="46" t="n"/>
      <c r="F61" s="12" t="n"/>
    </row>
    <row r="62">
      <c r="A62" s="12" t="n"/>
      <c r="B62" s="12" t="n"/>
      <c r="C62" s="12" t="n"/>
      <c r="D62" s="12" t="n"/>
      <c r="E62" s="46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</sheetData>
  <autoFilter ref="A4:F9"/>
  <mergeCells count="3">
    <mergeCell ref="A2:C2"/>
    <mergeCell ref="A20:C20"/>
    <mergeCell ref="A11:C1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zoomScale="115" zoomScaleNormal="115" workbookViewId="0">
      <selection activeCell="C11" sqref="C11"/>
    </sheetView>
  </sheetViews>
  <sheetFormatPr baseColWidth="8" defaultRowHeight="16.5"/>
  <cols>
    <col width="14.375" customWidth="1" style="59" min="1" max="1"/>
    <col width="10.75" customWidth="1" style="59" min="2" max="2"/>
    <col width="8.125" customWidth="1" style="60" min="3" max="3"/>
    <col width="12.875" customWidth="1" style="53" min="4" max="4"/>
    <col width="16.75" customWidth="1" style="61" min="5" max="5"/>
    <col width="15.25" customWidth="1" style="53" min="6" max="7"/>
    <col hidden="1" width="6.375" customWidth="1" style="9" min="9" max="9"/>
    <col hidden="1" width="9" customWidth="1" style="9" min="10" max="10"/>
    <col hidden="1" width="16.5" customWidth="1" style="9" min="11" max="12"/>
    <col hidden="1" width="9" customWidth="1" style="9" min="13" max="14"/>
  </cols>
  <sheetData>
    <row r="1" ht="17.25" customHeight="1" s="53" thickBot="1"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3" t="inlineStr">
        <is>
          <t>전기료 총액(11층)</t>
        </is>
      </c>
      <c r="B2" s="55" t="n"/>
      <c r="C2" s="56" t="n"/>
      <c r="D2" s="64">
        <f>365964+9880</f>
        <v/>
      </c>
      <c r="E2" s="64" t="n">
        <v>36596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I3" s="17" t="n">
        <v>2</v>
      </c>
      <c r="J3" s="17" t="inlineStr">
        <is>
          <t>13층</t>
        </is>
      </c>
      <c r="K3" s="17" t="inlineStr">
        <is>
          <t>사업관리본부</t>
        </is>
      </c>
      <c r="L3" s="17" t="inlineStr">
        <is>
          <t>영업관리실</t>
        </is>
      </c>
      <c r="M3" s="17" t="inlineStr">
        <is>
          <t>이현섭</t>
        </is>
      </c>
      <c r="N3" s="17" t="inlineStr">
        <is>
          <t>주임</t>
        </is>
      </c>
    </row>
    <row r="4" ht="17.25" customHeight="1" s="53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22" t="n">
        <v>3</v>
      </c>
      <c r="J4" s="18" t="inlineStr">
        <is>
          <t>13층</t>
        </is>
      </c>
      <c r="K4" s="18" t="inlineStr">
        <is>
          <t>R&amp;D본부</t>
        </is>
      </c>
      <c r="L4" s="18" t="inlineStr">
        <is>
          <t>R&amp;D본부</t>
        </is>
      </c>
      <c r="M4" s="18" t="inlineStr">
        <is>
          <t>김갑득</t>
        </is>
      </c>
      <c r="N4" s="18" t="inlineStr">
        <is>
          <t>사장</t>
        </is>
      </c>
    </row>
    <row r="5">
      <c r="A5" s="75" t="inlineStr">
        <is>
          <t>영업관리실</t>
        </is>
      </c>
      <c r="B5" s="80" t="inlineStr">
        <is>
          <t>판관</t>
        </is>
      </c>
      <c r="C5" s="88">
        <f>COUNTIF(L:L,"영업관리실")-1</f>
        <v/>
      </c>
      <c r="D5" s="73">
        <f>ROUND($D$2/$C$12*C5,0)</f>
        <v/>
      </c>
      <c r="E5" s="73">
        <f>ROUND($E$2/$C$12*C5,0)</f>
        <v/>
      </c>
      <c r="F5" s="74">
        <f>D5+E5</f>
        <v/>
      </c>
      <c r="I5" s="17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김명진</t>
        </is>
      </c>
      <c r="N5" s="17" t="inlineStr">
        <is>
          <t>상무</t>
        </is>
      </c>
    </row>
    <row r="6">
      <c r="A6" s="75" t="inlineStr">
        <is>
          <t>사업관리실</t>
        </is>
      </c>
      <c r="B6" s="80" t="inlineStr">
        <is>
          <t>판관</t>
        </is>
      </c>
      <c r="C6" s="88">
        <f>COUNTIF(L:L,"사업관리실")</f>
        <v/>
      </c>
      <c r="D6" s="73">
        <f>ROUND($D$2/$C$12*C6,0)</f>
        <v/>
      </c>
      <c r="E6" s="73">
        <f>ROUND($E$2/$C$12*C6,0)</f>
        <v/>
      </c>
      <c r="F6" s="74">
        <f>D6+E6</f>
        <v/>
      </c>
      <c r="I6" s="22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이재영</t>
        </is>
      </c>
      <c r="N6" s="17" t="inlineStr">
        <is>
          <t>과장</t>
        </is>
      </c>
    </row>
    <row r="7">
      <c r="A7" s="70" t="inlineStr">
        <is>
          <t>설계1실</t>
        </is>
      </c>
      <c r="B7" s="71" t="inlineStr">
        <is>
          <t>제조</t>
        </is>
      </c>
      <c r="C7" s="72">
        <f>COUNTIF(L:L,"설계1실")</f>
        <v/>
      </c>
      <c r="D7" s="73">
        <f>ROUND($D$2/$C$12*C7,0)</f>
        <v/>
      </c>
      <c r="E7" s="73">
        <f>ROUND($E$2/$C$12*C7,0)</f>
        <v/>
      </c>
      <c r="F7" s="74">
        <f>D7+E7</f>
        <v/>
      </c>
      <c r="I7" s="17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강지혜</t>
        </is>
      </c>
      <c r="N7" s="17" t="inlineStr">
        <is>
          <t>대리</t>
        </is>
      </c>
    </row>
    <row r="8">
      <c r="A8" s="70" t="inlineStr">
        <is>
          <t>설계2실</t>
        </is>
      </c>
      <c r="B8" s="71" t="inlineStr">
        <is>
          <t>제조</t>
        </is>
      </c>
      <c r="C8" s="72">
        <f>COUNTIF(L:L,"설계2실")</f>
        <v/>
      </c>
      <c r="D8" s="73">
        <f>ROUND($D$2/$C$12*C8,0)</f>
        <v/>
      </c>
      <c r="E8" s="73">
        <f>ROUND($E$2/$C$12*C8,0)</f>
        <v/>
      </c>
      <c r="F8" s="74">
        <f>D8+E8</f>
        <v/>
      </c>
      <c r="I8" s="22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이경태</t>
        </is>
      </c>
      <c r="N8" s="17" t="inlineStr">
        <is>
          <t>차장</t>
        </is>
      </c>
    </row>
    <row r="9">
      <c r="A9" s="75" t="inlineStr">
        <is>
          <t>사업관리본부</t>
        </is>
      </c>
      <c r="B9" s="80" t="inlineStr">
        <is>
          <t>판관</t>
        </is>
      </c>
      <c r="C9" s="88">
        <f>COUNTIF(L:L,"사업관리본부")</f>
        <v/>
      </c>
      <c r="D9" s="73">
        <f>ROUND($D$2/$C$12*C9,0)</f>
        <v/>
      </c>
      <c r="E9" s="73">
        <f>ROUND($E$2/$C$12*C9,0)</f>
        <v/>
      </c>
      <c r="F9" s="74">
        <f>D9+E9</f>
        <v/>
      </c>
      <c r="I9" s="17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최경천</t>
        </is>
      </c>
      <c r="N9" s="17" t="inlineStr">
        <is>
          <t>차장</t>
        </is>
      </c>
    </row>
    <row r="10">
      <c r="A10" s="75" t="inlineStr">
        <is>
          <t>설계본부</t>
        </is>
      </c>
      <c r="B10" s="71" t="inlineStr">
        <is>
          <t>제조</t>
        </is>
      </c>
      <c r="C10" s="88">
        <f>COUNTIF(L:L,"설계본부")</f>
        <v/>
      </c>
      <c r="D10" s="73">
        <f>ROUND($D$2/$C$12*C10,0)</f>
        <v/>
      </c>
      <c r="E10" s="73">
        <f>ROUND($E$2/$C$12*C10,0)</f>
        <v/>
      </c>
      <c r="F10" s="74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이재선</t>
        </is>
      </c>
      <c r="N10" s="17" t="inlineStr">
        <is>
          <t>차장</t>
        </is>
      </c>
    </row>
    <row r="11" ht="17.25" customHeight="1" s="53" thickBot="1">
      <c r="A11" s="75" t="inlineStr">
        <is>
          <t>전사</t>
        </is>
      </c>
      <c r="B11" s="71" t="inlineStr">
        <is>
          <t>판관</t>
        </is>
      </c>
      <c r="C11" s="88">
        <f>COUNTIF(L:L,"전사")</f>
        <v/>
      </c>
      <c r="D11" s="73">
        <f>ROUND($D$2/$C$12*C11,0)-2</f>
        <v/>
      </c>
      <c r="E11" s="73">
        <f>ROUND($E$2/$C$12*C11,0)</f>
        <v/>
      </c>
      <c r="F11" s="74">
        <f>D11+E11</f>
        <v/>
      </c>
      <c r="I11" s="17" t="n">
        <v>10</v>
      </c>
      <c r="J11" s="17" t="inlineStr">
        <is>
          <t>13층</t>
        </is>
      </c>
      <c r="K11" s="17" t="n"/>
      <c r="L11" s="17" t="inlineStr">
        <is>
          <t>경영기획실</t>
        </is>
      </c>
      <c r="M11" s="17" t="inlineStr">
        <is>
          <t>이택호</t>
        </is>
      </c>
      <c r="N11" s="17" t="inlineStr">
        <is>
          <t>부장</t>
        </is>
      </c>
    </row>
    <row r="12" ht="17.25" customHeight="1" s="53" thickBot="1">
      <c r="A12" s="66" t="inlineStr">
        <is>
          <t>총합</t>
        </is>
      </c>
      <c r="B12" s="67" t="n"/>
      <c r="C12" s="68">
        <f>SUM(C5:C11)</f>
        <v/>
      </c>
      <c r="D12" s="76">
        <f>SUM(D5:D11)</f>
        <v/>
      </c>
      <c r="E12" s="81">
        <f>SUM(E5:E11)</f>
        <v/>
      </c>
      <c r="F12" s="77">
        <f>SUM(F5:F11)</f>
        <v/>
      </c>
      <c r="I12" s="22" t="n">
        <v>11</v>
      </c>
      <c r="J12" s="17" t="inlineStr">
        <is>
          <t>13층</t>
        </is>
      </c>
      <c r="K12" s="17" t="n"/>
      <c r="L12" s="17" t="inlineStr">
        <is>
          <t>경영기획실</t>
        </is>
      </c>
      <c r="M12" s="17" t="inlineStr">
        <is>
          <t>이황</t>
        </is>
      </c>
      <c r="N12" s="17" t="inlineStr">
        <is>
          <t>과장</t>
        </is>
      </c>
    </row>
    <row r="13" ht="17.25" customHeight="1" s="53" thickBot="1">
      <c r="D13" s="78" t="n"/>
      <c r="F13" s="79" t="n"/>
      <c r="I13" s="37" t="n">
        <v>12</v>
      </c>
      <c r="J13" s="37" t="inlineStr">
        <is>
          <t>13층</t>
        </is>
      </c>
      <c r="K13" s="38" t="n"/>
      <c r="L13" s="37" t="inlineStr">
        <is>
          <t>경영기획실</t>
        </is>
      </c>
      <c r="M13" s="37" t="inlineStr">
        <is>
          <t>강소영</t>
        </is>
      </c>
      <c r="N13" s="37" t="inlineStr">
        <is>
          <t>주임</t>
        </is>
      </c>
    </row>
    <row r="14" ht="18" customHeight="1" s="53" thickBot="1" thickTop="1">
      <c r="D14" s="78" t="n"/>
      <c r="I14" s="22" t="n">
        <v>1</v>
      </c>
      <c r="J14" s="36" t="inlineStr">
        <is>
          <t>11층</t>
        </is>
      </c>
      <c r="K14" s="36" t="inlineStr">
        <is>
          <t>설계본부</t>
        </is>
      </c>
      <c r="L14" s="36" t="inlineStr">
        <is>
          <t>설계본부</t>
        </is>
      </c>
      <c r="M14" s="36" t="inlineStr">
        <is>
          <t>오진택</t>
        </is>
      </c>
      <c r="N14" s="36" t="inlineStr">
        <is>
          <t>전무</t>
        </is>
      </c>
    </row>
    <row r="15" ht="17.25" customHeight="1" s="53" thickBot="1">
      <c r="A15" s="63" t="inlineStr">
        <is>
          <t>전기료 총액(13층)</t>
        </is>
      </c>
      <c r="B15" s="55" t="n"/>
      <c r="C15" s="56" t="n"/>
      <c r="D15" s="64">
        <f>390575+10540-3</f>
        <v/>
      </c>
      <c r="E15" s="64" t="n">
        <v>39058</v>
      </c>
      <c r="F15" s="65">
        <f>D15+E15</f>
        <v/>
      </c>
      <c r="I15" s="17" t="n">
        <v>2</v>
      </c>
      <c r="J15" s="18" t="inlineStr">
        <is>
          <t>11층</t>
        </is>
      </c>
      <c r="K15" s="18" t="inlineStr">
        <is>
          <t>설계본부</t>
        </is>
      </c>
      <c r="L15" s="18" t="inlineStr">
        <is>
          <t>설계본부</t>
        </is>
      </c>
      <c r="M15" s="18" t="inlineStr">
        <is>
          <t>최우제</t>
        </is>
      </c>
      <c r="N15" s="18" t="inlineStr">
        <is>
          <t>이사보</t>
        </is>
      </c>
    </row>
    <row r="16" ht="17.25" customHeight="1" s="53" thickBot="1">
      <c r="I16" s="22" t="n">
        <v>3</v>
      </c>
      <c r="J16" s="19" t="inlineStr">
        <is>
          <t>11층</t>
        </is>
      </c>
      <c r="K16" s="19" t="inlineStr">
        <is>
          <t>설계본부</t>
        </is>
      </c>
      <c r="L16" s="19" t="inlineStr">
        <is>
          <t>전사</t>
        </is>
      </c>
      <c r="M16" s="19" t="inlineStr">
        <is>
          <t>이정진</t>
        </is>
      </c>
      <c r="N16" s="19" t="inlineStr">
        <is>
          <t>부장</t>
        </is>
      </c>
    </row>
    <row r="17" ht="17.25" customHeight="1" s="53" thickBot="1">
      <c r="A17" s="66" t="inlineStr">
        <is>
          <t>부서</t>
        </is>
      </c>
      <c r="B17" s="67" t="inlineStr">
        <is>
          <t>계정</t>
        </is>
      </c>
      <c r="C17" s="68" t="inlineStr">
        <is>
          <t>인원</t>
        </is>
      </c>
      <c r="D17" s="28" t="inlineStr">
        <is>
          <t>공급가</t>
        </is>
      </c>
      <c r="E17" s="69" t="inlineStr">
        <is>
          <t>부가세</t>
        </is>
      </c>
      <c r="F17" s="30" t="inlineStr">
        <is>
          <t>합계</t>
        </is>
      </c>
      <c r="I17" s="17" t="n">
        <v>4</v>
      </c>
      <c r="J17" s="17" t="inlineStr">
        <is>
          <t>11층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김태은</t>
        </is>
      </c>
      <c r="N17" s="17" t="inlineStr">
        <is>
          <t>과장</t>
        </is>
      </c>
    </row>
    <row r="18">
      <c r="A18" s="75" t="inlineStr">
        <is>
          <t>감사역</t>
        </is>
      </c>
      <c r="B18" s="80" t="inlineStr">
        <is>
          <t>판관</t>
        </is>
      </c>
      <c r="C18" s="88">
        <f>COUNTIF(L:L,"감사역")</f>
        <v/>
      </c>
      <c r="D18" s="73">
        <f>ROUND($D$15/$C$22*C18,0)</f>
        <v/>
      </c>
      <c r="E18" s="73">
        <f>ROUND($E$15/$C$22*C18,0)</f>
        <v/>
      </c>
      <c r="F18" s="74">
        <f>D18+E18</f>
        <v/>
      </c>
      <c r="I18" s="22" t="n">
        <v>5</v>
      </c>
      <c r="J18" s="17" t="inlineStr">
        <is>
          <t>11층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>
      <c r="A19" s="75" t="inlineStr">
        <is>
          <t>영업관리실</t>
        </is>
      </c>
      <c r="B19" s="80" t="inlineStr">
        <is>
          <t>판관</t>
        </is>
      </c>
      <c r="C19" s="88" t="n">
        <v>1</v>
      </c>
      <c r="D19" s="73">
        <f>ROUND($D$15/$C$22*C19,0)</f>
        <v/>
      </c>
      <c r="E19" s="73">
        <f>ROUND($E$15/$C$22*C19,0)</f>
        <v/>
      </c>
      <c r="F19" s="74">
        <f>D19+E19</f>
        <v/>
      </c>
      <c r="I19" s="17" t="n">
        <v>6</v>
      </c>
      <c r="J19" s="17" t="inlineStr">
        <is>
          <t>11층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기재관</t>
        </is>
      </c>
      <c r="N19" s="17" t="inlineStr">
        <is>
          <t>대리</t>
        </is>
      </c>
    </row>
    <row r="20">
      <c r="A20" s="75" t="inlineStr">
        <is>
          <t>R&amp;D본부</t>
        </is>
      </c>
      <c r="B20" s="71" t="inlineStr">
        <is>
          <t>연구</t>
        </is>
      </c>
      <c r="C20" s="88">
        <f>COUNTIF(L:L,"R&amp;D본부")</f>
        <v/>
      </c>
      <c r="D20" s="73">
        <f>ROUND($D$15/$C$22*C20,0)</f>
        <v/>
      </c>
      <c r="E20" s="73">
        <f>ROUND($E$15/$C$22*C20,0)</f>
        <v/>
      </c>
      <c r="F20" s="74">
        <f>D20+E20</f>
        <v/>
      </c>
      <c r="I20" s="22" t="n">
        <v>7</v>
      </c>
      <c r="J20" s="17" t="inlineStr">
        <is>
          <t>11층</t>
        </is>
      </c>
      <c r="K20" s="17" t="inlineStr">
        <is>
          <t>설계본부</t>
        </is>
      </c>
      <c r="L20" s="17" t="inlineStr">
        <is>
          <t>설계1실</t>
        </is>
      </c>
      <c r="M20" s="17" t="inlineStr">
        <is>
          <t>조지은</t>
        </is>
      </c>
      <c r="N20" s="17" t="inlineStr">
        <is>
          <t>부장</t>
        </is>
      </c>
    </row>
    <row r="21" ht="17.25" customHeight="1" s="53" thickBot="1">
      <c r="A21" s="70" t="inlineStr">
        <is>
          <t>경영기획실</t>
        </is>
      </c>
      <c r="B21" s="80" t="inlineStr">
        <is>
          <t>판관</t>
        </is>
      </c>
      <c r="C21" s="72">
        <f>COUNTIF(L:L,"경영기획실")</f>
        <v/>
      </c>
      <c r="D21" s="73">
        <f>ROUND($D$15/$C$22*C21,0)</f>
        <v/>
      </c>
      <c r="E21" s="73">
        <f>ROUND($E$15/$C$22*C21,0)-1</f>
        <v/>
      </c>
      <c r="F21" s="74">
        <f>D21+E21</f>
        <v/>
      </c>
      <c r="I21" s="17" t="n">
        <v>8</v>
      </c>
      <c r="J21" s="17" t="inlineStr">
        <is>
          <t>11층</t>
        </is>
      </c>
      <c r="K21" s="17" t="inlineStr">
        <is>
          <t>설계본부</t>
        </is>
      </c>
      <c r="L21" s="17" t="inlineStr">
        <is>
          <t>설계1실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3" thickBot="1">
      <c r="A22" s="66" t="inlineStr">
        <is>
          <t>총합</t>
        </is>
      </c>
      <c r="B22" s="67" t="n"/>
      <c r="C22" s="68">
        <f>SUM(C18:C21)</f>
        <v/>
      </c>
      <c r="D22" s="76">
        <f>SUM(D18:D21)</f>
        <v/>
      </c>
      <c r="E22" s="81">
        <f>SUM(E18:E21)</f>
        <v/>
      </c>
      <c r="F22" s="77">
        <f>SUM(F18:F21)</f>
        <v/>
      </c>
      <c r="I22" s="22" t="n">
        <v>9</v>
      </c>
      <c r="J22" s="17" t="inlineStr">
        <is>
          <t>11층</t>
        </is>
      </c>
      <c r="K22" s="17" t="inlineStr">
        <is>
          <t>설계본부</t>
        </is>
      </c>
      <c r="L22" s="17" t="inlineStr">
        <is>
          <t>설계1실</t>
        </is>
      </c>
      <c r="M22" s="17" t="inlineStr">
        <is>
          <t>최수용</t>
        </is>
      </c>
      <c r="N22" s="17" t="inlineStr">
        <is>
          <t>사원</t>
        </is>
      </c>
    </row>
    <row r="23">
      <c r="I23" s="17" t="n">
        <v>10</v>
      </c>
      <c r="J23" s="17" t="inlineStr">
        <is>
          <t>11층</t>
        </is>
      </c>
      <c r="K23" s="20" t="inlineStr">
        <is>
          <t>설계본부</t>
        </is>
      </c>
      <c r="L23" s="17" t="inlineStr">
        <is>
          <t>설계2실</t>
        </is>
      </c>
      <c r="M23" s="17" t="inlineStr">
        <is>
          <t>최진달미</t>
        </is>
      </c>
      <c r="N23" s="17" t="inlineStr">
        <is>
          <t>전무</t>
        </is>
      </c>
    </row>
    <row r="24">
      <c r="I24" s="22" t="n">
        <v>11</v>
      </c>
      <c r="J24" s="17" t="inlineStr">
        <is>
          <t>11층</t>
        </is>
      </c>
      <c r="K24" s="17" t="inlineStr">
        <is>
          <t>설계본부</t>
        </is>
      </c>
      <c r="L24" s="17" t="inlineStr">
        <is>
          <t>설계2실</t>
        </is>
      </c>
      <c r="M24" s="17" t="inlineStr">
        <is>
          <t>류승호</t>
        </is>
      </c>
      <c r="N24" s="17" t="inlineStr">
        <is>
          <t>과장</t>
        </is>
      </c>
    </row>
    <row r="25">
      <c r="I25" s="17" t="n">
        <v>12</v>
      </c>
      <c r="J25" s="17" t="inlineStr">
        <is>
          <t>11층</t>
        </is>
      </c>
      <c r="K25" s="20" t="inlineStr">
        <is>
          <t>설계본부</t>
        </is>
      </c>
      <c r="L25" s="17" t="inlineStr">
        <is>
          <t>설계2실</t>
        </is>
      </c>
      <c r="M25" s="17" t="inlineStr">
        <is>
          <t>황진욱</t>
        </is>
      </c>
      <c r="N25" s="17" t="inlineStr">
        <is>
          <t>황진욱</t>
        </is>
      </c>
    </row>
    <row r="26">
      <c r="I26" s="22" t="n">
        <v>13</v>
      </c>
      <c r="J26" s="17" t="inlineStr">
        <is>
          <t>11층</t>
        </is>
      </c>
      <c r="K26" s="17" t="inlineStr">
        <is>
          <t>설계본부</t>
        </is>
      </c>
      <c r="L26" s="17" t="inlineStr">
        <is>
          <t>설계2실</t>
        </is>
      </c>
      <c r="M26" s="17" t="inlineStr">
        <is>
          <t>오한솔</t>
        </is>
      </c>
      <c r="N26" s="17" t="inlineStr">
        <is>
          <t>주임</t>
        </is>
      </c>
    </row>
    <row r="27">
      <c r="I27" s="17" t="n">
        <v>14</v>
      </c>
      <c r="J27" s="17" t="inlineStr">
        <is>
          <t>11층</t>
        </is>
      </c>
      <c r="K27" s="17" t="inlineStr">
        <is>
          <t>설계본부</t>
        </is>
      </c>
      <c r="L27" s="17" t="inlineStr">
        <is>
          <t>설계2실</t>
        </is>
      </c>
      <c r="M27" s="17" t="inlineStr">
        <is>
          <t>김채영</t>
        </is>
      </c>
      <c r="N27" s="17" t="inlineStr">
        <is>
          <t>부장</t>
        </is>
      </c>
    </row>
    <row r="28">
      <c r="I28" s="22" t="n">
        <v>15</v>
      </c>
      <c r="J28" s="18" t="inlineStr">
        <is>
          <t>11층</t>
        </is>
      </c>
      <c r="K28" s="18" t="inlineStr">
        <is>
          <t>사업관리본부</t>
        </is>
      </c>
      <c r="L28" s="18" t="inlineStr">
        <is>
          <t>사업관리본부</t>
        </is>
      </c>
      <c r="M28" s="18" t="inlineStr">
        <is>
          <t>김동우</t>
        </is>
      </c>
      <c r="N28" s="18" t="inlineStr">
        <is>
          <t>전무</t>
        </is>
      </c>
    </row>
    <row r="29">
      <c r="I29" s="17" t="n">
        <v>16</v>
      </c>
      <c r="J29" s="17" t="inlineStr">
        <is>
          <t>11층</t>
        </is>
      </c>
      <c r="K29" s="17" t="inlineStr">
        <is>
          <t>사업관리본부</t>
        </is>
      </c>
      <c r="L29" s="17" t="inlineStr">
        <is>
          <t>사업관리실</t>
        </is>
      </c>
      <c r="M29" s="17" t="inlineStr">
        <is>
          <t>박종철</t>
        </is>
      </c>
      <c r="N29" s="17" t="inlineStr">
        <is>
          <t>이사</t>
        </is>
      </c>
    </row>
    <row r="30">
      <c r="I30" s="22" t="n">
        <v>17</v>
      </c>
      <c r="J30" s="17" t="inlineStr">
        <is>
          <t>11층</t>
        </is>
      </c>
      <c r="K30" s="17" t="inlineStr">
        <is>
          <t>사업관리본부</t>
        </is>
      </c>
      <c r="L30" s="17" t="inlineStr">
        <is>
          <t>사업관리실</t>
        </is>
      </c>
      <c r="M30" s="17" t="inlineStr">
        <is>
          <t>이성규</t>
        </is>
      </c>
      <c r="N30" s="17" t="inlineStr">
        <is>
          <t>차장</t>
        </is>
      </c>
    </row>
    <row r="31">
      <c r="I31" s="17" t="n">
        <v>18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17" t="inlineStr">
        <is>
          <t>이강호</t>
        </is>
      </c>
      <c r="N31" s="17" t="inlineStr">
        <is>
          <t>차장</t>
        </is>
      </c>
    </row>
    <row r="32">
      <c r="E32" s="0" t="n"/>
      <c r="I32" s="22" t="n">
        <v>19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17" t="inlineStr">
        <is>
          <t>김동규</t>
        </is>
      </c>
      <c r="N32" s="17" t="inlineStr">
        <is>
          <t>부장</t>
        </is>
      </c>
    </row>
    <row r="33">
      <c r="I33" s="17" t="n">
        <v>20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17" t="inlineStr">
        <is>
          <t>이완구</t>
        </is>
      </c>
      <c r="N33" s="17" t="inlineStr">
        <is>
          <t>부장</t>
        </is>
      </c>
    </row>
    <row r="34">
      <c r="I34" s="22" t="n">
        <v>21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영업관리실</t>
        </is>
      </c>
      <c r="M34" s="17" t="inlineStr">
        <is>
          <t>주현철</t>
        </is>
      </c>
      <c r="N34" s="17" t="inlineStr">
        <is>
          <t>상무</t>
        </is>
      </c>
    </row>
    <row r="35">
      <c r="I35" s="17" t="n">
        <v>22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이미정</t>
        </is>
      </c>
      <c r="N35" s="17" t="inlineStr">
        <is>
          <t>과장</t>
        </is>
      </c>
    </row>
    <row r="36">
      <c r="I36" s="22" t="n">
        <v>23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문광정</t>
        </is>
      </c>
      <c r="N36" s="17" t="inlineStr">
        <is>
          <t>부장</t>
        </is>
      </c>
    </row>
    <row r="37">
      <c r="I37" s="17" t="n">
        <v>24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김진규</t>
        </is>
      </c>
      <c r="N37" s="17" t="inlineStr">
        <is>
          <t>대리</t>
        </is>
      </c>
    </row>
    <row r="38">
      <c r="I38" s="21" t="n">
        <v>25</v>
      </c>
      <c r="J38" s="21" t="inlineStr">
        <is>
          <t>11층</t>
        </is>
      </c>
      <c r="K38" s="21" t="inlineStr">
        <is>
          <t>사업관리본부</t>
        </is>
      </c>
      <c r="L38" s="21" t="inlineStr">
        <is>
          <t>영업관리실</t>
        </is>
      </c>
      <c r="M38" s="21" t="inlineStr">
        <is>
          <t>연지현</t>
        </is>
      </c>
      <c r="N38" s="21" t="inlineStr">
        <is>
          <t>주임</t>
        </is>
      </c>
    </row>
  </sheetData>
  <autoFilter ref="A4:F12"/>
  <mergeCells count="2">
    <mergeCell ref="A15:C15"/>
    <mergeCell ref="A2:C2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31"/>
  <sheetViews>
    <sheetView zoomScale="115" zoomScaleNormal="115" workbookViewId="0">
      <selection activeCell="D2" sqref="D2"/>
    </sheetView>
  </sheetViews>
  <sheetFormatPr baseColWidth="8" defaultRowHeight="16.5"/>
  <cols>
    <col width="14.375" customWidth="1" style="59" min="1" max="1"/>
    <col width="10.75" customWidth="1" style="59" min="2" max="2"/>
    <col width="8.125" customWidth="1" style="60" min="3" max="3"/>
    <col width="12.875" customWidth="1" style="53" min="4" max="4"/>
    <col width="16.75" customWidth="1" style="61" min="5" max="5"/>
    <col width="15.25" customWidth="1" style="53" min="6" max="7"/>
  </cols>
  <sheetData>
    <row r="1" ht="17.25" customHeight="1" s="53" thickBot="1"/>
    <row r="2" ht="17.25" customHeight="1" s="53" thickBot="1">
      <c r="A2" s="63" t="inlineStr">
        <is>
          <t>전기료 총액(11층)</t>
        </is>
      </c>
      <c r="B2" s="55" t="n"/>
      <c r="C2" s="56" t="n"/>
      <c r="D2" s="64" t="n">
        <v>556028</v>
      </c>
      <c r="E2" s="64" t="n">
        <v>54142</v>
      </c>
      <c r="F2" s="65">
        <f>D2+E2</f>
        <v/>
      </c>
    </row>
    <row r="3" ht="17.25" customHeight="1" s="53" thickBot="1"/>
    <row r="4" ht="17.25" customHeight="1" s="53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</row>
    <row r="5">
      <c r="A5" s="75" t="inlineStr">
        <is>
          <t>영업관리실</t>
        </is>
      </c>
      <c r="B5" s="80" t="inlineStr">
        <is>
          <t>판관</t>
        </is>
      </c>
      <c r="C5" s="88" t="n">
        <v>5</v>
      </c>
      <c r="D5" s="73">
        <f>ROUND(556030/$C12*C5,0)</f>
        <v/>
      </c>
      <c r="E5" s="73">
        <f>ROUND(54140/C12*C5,0)</f>
        <v/>
      </c>
      <c r="F5" s="74">
        <f>D5+E5</f>
        <v/>
      </c>
    </row>
    <row r="6">
      <c r="A6" s="75" t="inlineStr">
        <is>
          <t>사업관리실</t>
        </is>
      </c>
      <c r="B6" s="80" t="inlineStr">
        <is>
          <t>판관</t>
        </is>
      </c>
      <c r="C6" s="88" t="n">
        <v>5</v>
      </c>
      <c r="D6" s="73">
        <f>ROUND(556030/$C12*C6,0)</f>
        <v/>
      </c>
      <c r="E6" s="73">
        <f>ROUND(54140/C12*C6,0)</f>
        <v/>
      </c>
      <c r="F6" s="74">
        <f>D6+E6</f>
        <v/>
      </c>
    </row>
    <row r="7">
      <c r="A7" s="70" t="inlineStr">
        <is>
          <t>설계1실</t>
        </is>
      </c>
      <c r="B7" s="71" t="inlineStr">
        <is>
          <t>제조</t>
        </is>
      </c>
      <c r="C7" s="72" t="n">
        <v>6</v>
      </c>
      <c r="D7" s="73">
        <f>ROUND(556030/$C12*C7,0)</f>
        <v/>
      </c>
      <c r="E7" s="73">
        <f>ROUND(54140/C12*C7,0)</f>
        <v/>
      </c>
      <c r="F7" s="74">
        <f>D7+E7</f>
        <v/>
      </c>
    </row>
    <row r="8">
      <c r="A8" s="70" t="inlineStr">
        <is>
          <t>설계2실</t>
        </is>
      </c>
      <c r="B8" s="71" t="inlineStr">
        <is>
          <t>제조</t>
        </is>
      </c>
      <c r="C8" s="72" t="n">
        <v>3</v>
      </c>
      <c r="D8" s="73">
        <f>ROUND(556030/$C12*C8,0)</f>
        <v/>
      </c>
      <c r="E8" s="73">
        <f>ROUND(54140/C12*C8,0)</f>
        <v/>
      </c>
      <c r="F8" s="74">
        <f>D8+E8</f>
        <v/>
      </c>
    </row>
    <row r="9">
      <c r="A9" s="75" t="inlineStr">
        <is>
          <t>사업관리본부</t>
        </is>
      </c>
      <c r="B9" s="80" t="inlineStr">
        <is>
          <t>판관</t>
        </is>
      </c>
      <c r="C9" s="88" t="n">
        <v>1</v>
      </c>
      <c r="D9" s="73">
        <f>ROUND(556030/$C12*C9,0)</f>
        <v/>
      </c>
      <c r="E9" s="73">
        <f>ROUND(54140/C12*C9,0)</f>
        <v/>
      </c>
      <c r="F9" s="74">
        <f>D9+E9</f>
        <v/>
      </c>
    </row>
    <row r="10">
      <c r="A10" s="75" t="inlineStr">
        <is>
          <t>설계본부</t>
        </is>
      </c>
      <c r="B10" s="71" t="inlineStr">
        <is>
          <t>제조</t>
        </is>
      </c>
      <c r="C10" s="88" t="n">
        <v>2</v>
      </c>
      <c r="D10" s="73" t="n">
        <v>48349</v>
      </c>
      <c r="E10" s="73" t="n">
        <v>4709</v>
      </c>
      <c r="F10" s="74">
        <f>D10+E10</f>
        <v/>
      </c>
    </row>
    <row r="11" ht="17.25" customHeight="1" s="53" thickBot="1">
      <c r="A11" s="75" t="inlineStr">
        <is>
          <t>전사</t>
        </is>
      </c>
      <c r="B11" s="71" t="inlineStr">
        <is>
          <t>판관</t>
        </is>
      </c>
      <c r="C11" s="88" t="n">
        <v>1</v>
      </c>
      <c r="D11" s="73">
        <f>ROUND(556030/$C12*C11,0)</f>
        <v/>
      </c>
      <c r="E11" s="73">
        <f>ROUND(54140/C12*C11,0)</f>
        <v/>
      </c>
      <c r="F11" s="74">
        <f>D11+E11</f>
        <v/>
      </c>
    </row>
    <row r="12" ht="17.25" customHeight="1" s="53" thickBot="1">
      <c r="A12" s="66" t="inlineStr">
        <is>
          <t>총합</t>
        </is>
      </c>
      <c r="B12" s="67" t="n"/>
      <c r="C12" s="68">
        <f>SUM(C5:C11)</f>
        <v/>
      </c>
      <c r="D12" s="76">
        <f>SUM(D5:D11)</f>
        <v/>
      </c>
      <c r="E12" s="81">
        <f>SUM(E5:E11)</f>
        <v/>
      </c>
      <c r="F12" s="77">
        <f>SUM(F5:F11)</f>
        <v/>
      </c>
    </row>
    <row r="13">
      <c r="D13" s="78" t="n"/>
      <c r="F13" s="79" t="n"/>
    </row>
    <row r="14" ht="17.25" customHeight="1" s="53" thickBot="1">
      <c r="D14" s="78" t="n"/>
    </row>
    <row r="15" ht="17.25" customHeight="1" s="53" thickBot="1">
      <c r="A15" s="63" t="inlineStr">
        <is>
          <t>전기료 총액(13층)</t>
        </is>
      </c>
      <c r="B15" s="55" t="n"/>
      <c r="C15" s="56" t="n"/>
      <c r="D15" s="64" t="n">
        <v>677546</v>
      </c>
      <c r="E15" s="64" t="n">
        <v>65974</v>
      </c>
      <c r="F15" s="65">
        <f>D15+E15</f>
        <v/>
      </c>
    </row>
    <row r="16" ht="17.25" customHeight="1" s="53" thickBot="1"/>
    <row r="17" ht="17.25" customHeight="1" s="53" thickBot="1">
      <c r="A17" s="66" t="inlineStr">
        <is>
          <t>부서</t>
        </is>
      </c>
      <c r="B17" s="67" t="inlineStr">
        <is>
          <t>계정</t>
        </is>
      </c>
      <c r="C17" s="68" t="inlineStr">
        <is>
          <t>인원</t>
        </is>
      </c>
      <c r="D17" s="28" t="inlineStr">
        <is>
          <t>공급가</t>
        </is>
      </c>
      <c r="E17" s="69" t="inlineStr">
        <is>
          <t>부가세</t>
        </is>
      </c>
      <c r="F17" s="30" t="inlineStr">
        <is>
          <t>합계</t>
        </is>
      </c>
    </row>
    <row r="18">
      <c r="A18" s="75" t="inlineStr">
        <is>
          <t>감사역</t>
        </is>
      </c>
      <c r="B18" s="80" t="inlineStr">
        <is>
          <t>판관</t>
        </is>
      </c>
      <c r="C18" s="88" t="n">
        <v>1</v>
      </c>
      <c r="D18" s="73">
        <f>ROUND(677545/C21*C18,0)</f>
        <v/>
      </c>
      <c r="E18" s="73">
        <f>ROUND(65975/C21*C18,0)</f>
        <v/>
      </c>
      <c r="F18" s="74">
        <f>D18+E18</f>
        <v/>
      </c>
    </row>
    <row r="19">
      <c r="A19" s="75" t="inlineStr">
        <is>
          <t>R&amp;D본부</t>
        </is>
      </c>
      <c r="B19" s="71" t="inlineStr">
        <is>
          <t>연구</t>
        </is>
      </c>
      <c r="C19" s="88" t="n">
        <v>2</v>
      </c>
      <c r="D19" s="73">
        <f>ROUND(677545/C21*C19,0)</f>
        <v/>
      </c>
      <c r="E19" s="73">
        <f>ROUND(65975/C21*C19,0)</f>
        <v/>
      </c>
      <c r="F19" s="74">
        <f>D19+E19</f>
        <v/>
      </c>
    </row>
    <row r="20" ht="17.25" customHeight="1" s="53" thickBot="1">
      <c r="A20" s="70" t="inlineStr">
        <is>
          <t>경영기획실</t>
        </is>
      </c>
      <c r="B20" s="80" t="inlineStr">
        <is>
          <t>판관</t>
        </is>
      </c>
      <c r="C20" s="72" t="n">
        <v>8</v>
      </c>
      <c r="D20" s="73" t="n">
        <v>492761</v>
      </c>
      <c r="E20" s="73" t="n">
        <v>47981</v>
      </c>
      <c r="F20" s="74">
        <f>D20+E20</f>
        <v/>
      </c>
    </row>
    <row r="21" ht="17.25" customHeight="1" s="53" thickBot="1">
      <c r="A21" s="66" t="inlineStr">
        <is>
          <t>총합</t>
        </is>
      </c>
      <c r="B21" s="67" t="n"/>
      <c r="C21" s="68">
        <f>SUM(C18:C20)</f>
        <v/>
      </c>
      <c r="D21" s="76">
        <f>SUM(D18:D20)</f>
        <v/>
      </c>
      <c r="E21" s="81">
        <f>SUM(E18:E20)</f>
        <v/>
      </c>
      <c r="F21" s="77">
        <f>SUM(F18:F20)</f>
        <v/>
      </c>
    </row>
    <row r="31">
      <c r="E31" s="0" t="n"/>
    </row>
  </sheetData>
  <autoFilter ref="A4:F12"/>
  <mergeCells count="2">
    <mergeCell ref="A15:C15"/>
    <mergeCell ref="A2:C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2025-07-28T09:34:40Z</dcterms:created>
  <dcterms:modified xsi:type="dcterms:W3CDTF">2026-06-17T05:15:36Z</dcterms:modified>
  <cp:lastModifiedBy>강 소영</cp:lastModifiedBy>
</cp:coreProperties>
</file>